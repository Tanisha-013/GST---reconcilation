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13_ncr:1_{12D819D7-8719-437C-8DF7-BC14421101AF}" xr6:coauthVersionLast="47" xr6:coauthVersionMax="47" xr10:uidLastSave="{00000000-0000-0000-0000-000000000000}"/>
  <bookViews>
    <workbookView xWindow="11424" yWindow="0" windowWidth="11712" windowHeight="12336" firstSheet="2" activeTab="2" xr2:uid="{00000000-000D-0000-FFFF-FFFF00000000}"/>
  </bookViews>
  <sheets>
    <sheet name="GSTIN" sheetId="1" r:id="rId1"/>
    <sheet name="B2B" sheetId="2" r:id="rId2"/>
    <sheet name="HSN(B2B)" sheetId="8" r:id="rId3"/>
    <sheet name="B2B CN (cdnr)" sheetId="3" r:id="rId4"/>
    <sheet name="B2CL CN (cdnur)" sheetId="4" r:id="rId5"/>
    <sheet name="B2C Large" sheetId="5" r:id="rId6"/>
    <sheet name="B2C Small" sheetId="6" r:id="rId7"/>
    <sheet name="HSN(B2C)" sheetId="10" r:id="rId8"/>
    <sheet name="HSN Summary" sheetId="7" r:id="rId9"/>
    <sheet name="DOC" sheetId="11" r:id="rId10"/>
  </sheets>
  <definedNames>
    <definedName name="_xlnm._FilterDatabase" localSheetId="1" hidden="1">B2B!$A$1:$N$83</definedName>
    <definedName name="_xlnm._FilterDatabase" localSheetId="2" hidden="1">'HSN(B2B)'!$A$1:$I$80</definedName>
    <definedName name="_xlnm._FilterDatabase" localSheetId="7" hidden="1">'HSN(B2C)'!$A$1:$I$23</definedName>
    <definedName name="_xlcn.WorksheetConnection_HSNB2CA1I231" hidden="1">'HSN(B2C)'!$A$1:$I$23</definedName>
  </definedNames>
  <calcPr calcId="191029"/>
  <pivotCaches>
    <pivotCache cacheId="4" r:id="rId11"/>
    <pivotCache cacheId="60" r:id="rId12"/>
    <pivotCache cacheId="88" r:id="rId13"/>
  </pivotCaches>
  <extLst>
    <ext xmlns:x15="http://schemas.microsoft.com/office/spreadsheetml/2010/11/main" uri="{FCE2AD5D-F65C-4FA6-A056-5C36A1767C68}">
      <x15:dataModel>
        <x15:modelTables>
          <x15:modelTable id="Range" name="Range" connection="WorksheetConnection_HSN(B2C)!$A$1:$I$23"/>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 i="10" l="1"/>
  <c r="E4" i="10"/>
  <c r="E5" i="10"/>
  <c r="E6" i="10"/>
  <c r="E7" i="10"/>
  <c r="E8" i="10"/>
  <c r="E9" i="10"/>
  <c r="E10" i="10"/>
  <c r="E11" i="10"/>
  <c r="E12" i="10"/>
  <c r="E13" i="10"/>
  <c r="E14" i="10"/>
  <c r="E15" i="10"/>
  <c r="E16" i="10"/>
  <c r="E17" i="10"/>
  <c r="E18" i="10"/>
  <c r="E19" i="10"/>
  <c r="E20" i="10"/>
  <c r="E21" i="10"/>
  <c r="E22" i="10"/>
  <c r="E23" i="10"/>
  <c r="E2" i="10"/>
  <c r="G3" i="10"/>
  <c r="G4" i="10"/>
  <c r="G5" i="10"/>
  <c r="G6" i="10"/>
  <c r="G7" i="10"/>
  <c r="G8" i="10"/>
  <c r="G9" i="10"/>
  <c r="G10" i="10"/>
  <c r="G11" i="10"/>
  <c r="G12" i="10"/>
  <c r="G13" i="10"/>
  <c r="G14" i="10"/>
  <c r="G15" i="10"/>
  <c r="G16" i="10"/>
  <c r="G17" i="10"/>
  <c r="G18" i="10"/>
  <c r="G19" i="10"/>
  <c r="G20" i="10"/>
  <c r="G21" i="10"/>
  <c r="G22" i="10"/>
  <c r="G23" i="10"/>
  <c r="G2" i="10"/>
  <c r="I15" i="10"/>
  <c r="I3" i="10"/>
  <c r="H3" i="10"/>
  <c r="H15" i="10"/>
  <c r="H13" i="6"/>
  <c r="H14" i="6"/>
  <c r="H15" i="6"/>
  <c r="H16" i="6"/>
  <c r="H17" i="6"/>
  <c r="H18" i="6"/>
  <c r="H19" i="6"/>
  <c r="H20" i="6"/>
  <c r="H21" i="6"/>
  <c r="H22" i="6"/>
  <c r="H23" i="6"/>
  <c r="H24" i="6"/>
  <c r="H25" i="6"/>
  <c r="H26" i="6"/>
  <c r="H27" i="6"/>
  <c r="H28" i="6"/>
  <c r="H29" i="6"/>
  <c r="H30" i="6"/>
  <c r="H31" i="6"/>
  <c r="H32" i="6"/>
  <c r="H33" i="6"/>
  <c r="H12" i="6"/>
  <c r="E3" i="8"/>
  <c r="E4" i="8"/>
  <c r="E5" i="8"/>
  <c r="E6" i="8"/>
  <c r="E7" i="8"/>
  <c r="E8" i="8"/>
  <c r="E9" i="8"/>
  <c r="E10" i="8"/>
  <c r="E11" i="8"/>
  <c r="E12" i="8"/>
  <c r="E13" i="8"/>
  <c r="E14" i="8"/>
  <c r="E15" i="8"/>
  <c r="E16" i="8"/>
  <c r="E17" i="8"/>
  <c r="E18" i="8"/>
  <c r="E19" i="8"/>
  <c r="E20" i="8"/>
  <c r="E21" i="8"/>
  <c r="E22" i="8"/>
  <c r="E23" i="8"/>
  <c r="E24" i="8"/>
  <c r="E25" i="8"/>
  <c r="E26" i="8"/>
  <c r="E27" i="8"/>
  <c r="E28" i="8"/>
  <c r="E29" i="8"/>
  <c r="E30" i="8"/>
  <c r="E31" i="8"/>
  <c r="E32" i="8"/>
  <c r="E33" i="8"/>
  <c r="E34" i="8"/>
  <c r="E35" i="8"/>
  <c r="E36" i="8"/>
  <c r="E37" i="8"/>
  <c r="E38" i="8"/>
  <c r="E39" i="8"/>
  <c r="E40" i="8"/>
  <c r="E41" i="8"/>
  <c r="E42" i="8"/>
  <c r="E43" i="8"/>
  <c r="E44" i="8"/>
  <c r="E45" i="8"/>
  <c r="E46" i="8"/>
  <c r="E47" i="8"/>
  <c r="E48" i="8"/>
  <c r="E49" i="8"/>
  <c r="E50" i="8"/>
  <c r="E51" i="8"/>
  <c r="E52" i="8"/>
  <c r="E53" i="8"/>
  <c r="E54" i="8"/>
  <c r="E55" i="8"/>
  <c r="E56" i="8"/>
  <c r="E57" i="8"/>
  <c r="E58" i="8"/>
  <c r="E59" i="8"/>
  <c r="E60" i="8"/>
  <c r="E61" i="8"/>
  <c r="E62" i="8"/>
  <c r="E63" i="8"/>
  <c r="E64" i="8"/>
  <c r="E65" i="8"/>
  <c r="E66" i="8"/>
  <c r="E67" i="8"/>
  <c r="E68" i="8"/>
  <c r="E69" i="8"/>
  <c r="E70" i="8"/>
  <c r="E71" i="8"/>
  <c r="E72" i="8"/>
  <c r="E73" i="8"/>
  <c r="E74" i="8"/>
  <c r="E75" i="8"/>
  <c r="E76" i="8"/>
  <c r="E77" i="8"/>
  <c r="E78" i="8"/>
  <c r="E79" i="8"/>
  <c r="E80" i="8"/>
  <c r="E2" i="8"/>
  <c r="G80" i="8"/>
  <c r="G79" i="8"/>
  <c r="G78" i="8"/>
  <c r="G77" i="8"/>
  <c r="G76" i="8"/>
  <c r="G75" i="8"/>
  <c r="G74" i="8"/>
  <c r="G73" i="8"/>
  <c r="G72" i="8"/>
  <c r="G71" i="8"/>
  <c r="G70" i="8"/>
  <c r="G69" i="8"/>
  <c r="G68" i="8"/>
  <c r="G67" i="8"/>
  <c r="G66" i="8"/>
  <c r="G65" i="8"/>
  <c r="G64" i="8"/>
  <c r="G63" i="8"/>
  <c r="G62" i="8"/>
  <c r="G61" i="8"/>
  <c r="G60" i="8"/>
  <c r="G59" i="8"/>
  <c r="G58" i="8"/>
  <c r="G57" i="8"/>
  <c r="G56" i="8"/>
  <c r="G55" i="8"/>
  <c r="G54" i="8"/>
  <c r="G53" i="8"/>
  <c r="G52" i="8"/>
  <c r="G51" i="8"/>
  <c r="G50" i="8"/>
  <c r="G49" i="8"/>
  <c r="G48" i="8"/>
  <c r="G47" i="8"/>
  <c r="G46" i="8"/>
  <c r="G45" i="8"/>
  <c r="G44" i="8"/>
  <c r="G43" i="8"/>
  <c r="G42" i="8"/>
  <c r="G41" i="8"/>
  <c r="G40" i="8"/>
  <c r="G39" i="8"/>
  <c r="G38" i="8"/>
  <c r="G37" i="8"/>
  <c r="G36" i="8"/>
  <c r="G35" i="8"/>
  <c r="G34" i="8"/>
  <c r="G33" i="8"/>
  <c r="G32" i="8"/>
  <c r="G31" i="8"/>
  <c r="G30" i="8"/>
  <c r="G29" i="8"/>
  <c r="G28" i="8"/>
  <c r="G27" i="8"/>
  <c r="G26" i="8"/>
  <c r="G24" i="8"/>
  <c r="G23" i="8"/>
  <c r="G22" i="8"/>
  <c r="G21" i="8"/>
  <c r="G20" i="8"/>
  <c r="G19" i="8"/>
  <c r="G18" i="8"/>
  <c r="G17" i="8"/>
  <c r="G16" i="8"/>
  <c r="G15" i="8"/>
  <c r="G14" i="8"/>
  <c r="G13" i="8"/>
  <c r="G12" i="8"/>
  <c r="G11" i="8"/>
  <c r="G10" i="8"/>
  <c r="G9" i="8"/>
  <c r="G8" i="8"/>
  <c r="G7" i="8"/>
  <c r="G6" i="8"/>
  <c r="G5" i="8"/>
  <c r="G4" i="8"/>
  <c r="G3" i="8"/>
  <c r="G2" i="8"/>
  <c r="H25" i="8"/>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5" i="2"/>
  <c r="K3" i="7"/>
  <c r="J3" i="7"/>
  <c r="I3" i="7"/>
  <c r="H3" i="7"/>
  <c r="G3" i="7"/>
  <c r="F3" i="7"/>
  <c r="A3" i="7"/>
  <c r="F3" i="6"/>
  <c r="E3" i="6"/>
  <c r="H3" i="5"/>
  <c r="G3" i="5"/>
  <c r="C3" i="5"/>
  <c r="A3" i="5"/>
  <c r="K3" i="4"/>
  <c r="J3" i="4"/>
  <c r="I3" i="4"/>
  <c r="F3" i="4"/>
  <c r="B3" i="4"/>
  <c r="N3" i="3"/>
  <c r="M3" i="3"/>
  <c r="L3" i="3"/>
  <c r="I3" i="3"/>
  <c r="C3" i="3"/>
  <c r="A3" i="3"/>
  <c r="M3" i="2"/>
  <c r="L3" i="2"/>
  <c r="E3" i="2"/>
  <c r="C3" i="2"/>
  <c r="A3"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D2F9FA2-3F27-4E0B-872C-EED9B0DE1D8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55C5AB57-9A4D-4F56-87D8-B9A0A1544E83}" name="WorksheetConnection_HSN(B2C)!$A$1:$I$23" type="102" refreshedVersion="8" minRefreshableVersion="5">
    <extLst>
      <ext xmlns:x15="http://schemas.microsoft.com/office/spreadsheetml/2010/11/main" uri="{DE250136-89BD-433C-8126-D09CA5730AF9}">
        <x15:connection id="Range" autoDelete="1">
          <x15:rangePr sourceName="_xlcn.WorksheetConnection_HSNB2CA1I231"/>
        </x15:connection>
      </ext>
    </extLst>
  </connection>
</connections>
</file>

<file path=xl/sharedStrings.xml><?xml version="1.0" encoding="utf-8"?>
<sst xmlns="http://schemas.openxmlformats.org/spreadsheetml/2006/main" count="1246" uniqueCount="252">
  <si>
    <t>Merchant GSTIN</t>
  </si>
  <si>
    <t>29AAJCD0565D1ZQ</t>
  </si>
  <si>
    <t>This report pools together information on all transactions to be reported in GSTR 1 tax filing by the sellers by 10th of following month. The report contains exact same columns and information that are required to be uploaded into GST portal by Sellers. Shared below is a summary of various sheets/tabs included in this report and the details contained in each tab.</t>
  </si>
  <si>
    <t>Tab name in Amazon's GST Ready-to-File Report</t>
  </si>
  <si>
    <t>Tab name in GSTR-1 Excel Template (Offline Tool)</t>
  </si>
  <si>
    <t>Description in GSTR-1 Excel Template (Offline Tool)</t>
  </si>
  <si>
    <t>Information captured in Amazon's GST Ready-to-File Report</t>
  </si>
  <si>
    <t>B2B</t>
  </si>
  <si>
    <t>b2b</t>
  </si>
  <si>
    <t>Details of invoices of Taxable supplies made to other registered taxpayers</t>
  </si>
  <si>
    <t>This tab contains details of all invoices issued to a registered customer (i.e., a customer having GSTIN), as well as all invoices for inter-state movement of goods.
Please refer invoices with transaction type as 'Shipment' under MTR B2B report and inter-state invoices within STR report for details on these invoices.</t>
  </si>
  <si>
    <t>B2B CN (cdnr)</t>
  </si>
  <si>
    <t>cdnr</t>
  </si>
  <si>
    <t>Credit/ Debit Notes/Refund vouchers issued to the registered taxpayers during the tax period. Debit or credit note issued against invoice will be reported here against original invoice, hence fill the details of original invoice also which was furnished in B2B,B2CL section of earlier/current period tax period.</t>
  </si>
  <si>
    <t>This tab contains details of all credit notes issued to a registered customer (i.e., a customer having GSTIN).
Please refer transactions with transaction type as 'Refund' under MTR B2B for details on these credit notes.</t>
  </si>
  <si>
    <t>B2CL CN (cdnur)</t>
  </si>
  <si>
    <t>cdnur</t>
  </si>
  <si>
    <t>Credit/ Debit Notes/Refund vouchers issued to the unregistered persons against interstate invoice value is more than Rs 1 lakh.</t>
  </si>
  <si>
    <t>This section contains details of all credit notes for invoices with value more than Rs 1,00,000 and issued to a non-registered customer (i.e., a customer without GSTIN).
Please refer credit notes for which the invoice value more than Rs 1,00,000 under MTR B2C.</t>
  </si>
  <si>
    <t>B2C Large</t>
  </si>
  <si>
    <t>b2cl</t>
  </si>
  <si>
    <t>Invoices for Taxable outward supplies to consumers where
a) The place of supply is outside the state where the supplier is registered and
b) The total invoice value is more that Rs 1 lakh</t>
  </si>
  <si>
    <t>This section contains details of all invoices with value more than Rs 1,00,000 and issued to a non-registered customer (i.e. a customer without GSTIN).
Please refer invoices with invoice value more than Rs 1,00,000 and transaction type as 'Shipment' under MTR B2C.</t>
  </si>
  <si>
    <t>B2C Small</t>
  </si>
  <si>
    <t>b2cs</t>
  </si>
  <si>
    <t>Supplies made to consumers and unregistered persons of the following nature
a) Intra-State: any value
b) Inter-State: Invoice value Rs 1 lakh or less</t>
  </si>
  <si>
    <t>This section contains details of all invoices issued to a non-registered customer (i.e. a customer without GSTIN). The amount is summarized at each state of supply and GST rate. (Please note that the amount is net off credit note).
Please refer invoices with value less than Rs 1,00,000 and with transaction type as 'Shipment' or 'Refund' under MTR B2C for details on these invoices.</t>
  </si>
  <si>
    <t>HSN Summary</t>
  </si>
  <si>
    <t>hsn</t>
  </si>
  <si>
    <t>HSN wise summary of goods /services supplied during the tax period</t>
  </si>
  <si>
    <t>Summary For B2B</t>
  </si>
  <si>
    <t>No. of Recipients</t>
  </si>
  <si>
    <t>No. of Invoices</t>
  </si>
  <si>
    <t>Total Invoice Value</t>
  </si>
  <si>
    <t>Total Taxable Value</t>
  </si>
  <si>
    <t>Total Cess</t>
  </si>
  <si>
    <t>GSTIN/UIN of Recipient</t>
  </si>
  <si>
    <t>Receiver Name</t>
  </si>
  <si>
    <t>Invoice Number</t>
  </si>
  <si>
    <t>Invoice date</t>
  </si>
  <si>
    <t>Invoice Value</t>
  </si>
  <si>
    <t>Place Of Supply</t>
  </si>
  <si>
    <t>Reverse Charge</t>
  </si>
  <si>
    <t>Applicable % of Tax Rate</t>
  </si>
  <si>
    <t>Invoice Type</t>
  </si>
  <si>
    <t>E-Commerce GSTIN</t>
  </si>
  <si>
    <t>Rate</t>
  </si>
  <si>
    <t>Taxable Value</t>
  </si>
  <si>
    <t>Cess Amount</t>
  </si>
  <si>
    <t>09AAJCD0565D1ZS</t>
  </si>
  <si>
    <t/>
  </si>
  <si>
    <t>BLR5-T-175</t>
  </si>
  <si>
    <t>28-Jun-2025</t>
  </si>
  <si>
    <t>09-Uttar Pradesh</t>
  </si>
  <si>
    <t>N</t>
  </si>
  <si>
    <t>Regular B2B</t>
  </si>
  <si>
    <t>36AAJCD0565D1ZV</t>
  </si>
  <si>
    <t>BLR5-T-174</t>
  </si>
  <si>
    <t>27-Jun-2025</t>
  </si>
  <si>
    <t>36-Telangana</t>
  </si>
  <si>
    <t>27AAJCD0565D1ZU</t>
  </si>
  <si>
    <t>BLR7-T-41</t>
  </si>
  <si>
    <t>24-Jun-2025</t>
  </si>
  <si>
    <t>27-Maharashtra</t>
  </si>
  <si>
    <t>BLR5-T-143</t>
  </si>
  <si>
    <t>08-Jun-2025</t>
  </si>
  <si>
    <t>BLR5-T-142</t>
  </si>
  <si>
    <t>BLR5-T-155</t>
  </si>
  <si>
    <t>14-Jun-2025</t>
  </si>
  <si>
    <t>BLR5-T-131</t>
  </si>
  <si>
    <t>04-Jun-2025</t>
  </si>
  <si>
    <t>BLR5-T-136</t>
  </si>
  <si>
    <t>05-Jun-2025</t>
  </si>
  <si>
    <t>BLR5-T-166</t>
  </si>
  <si>
    <t>21-Jun-2025</t>
  </si>
  <si>
    <t>BLR5-T-145</t>
  </si>
  <si>
    <t>09-Jun-2025</t>
  </si>
  <si>
    <t>BLR5-T-144</t>
  </si>
  <si>
    <t>BLR7-T-32</t>
  </si>
  <si>
    <t>10-Jun-2025</t>
  </si>
  <si>
    <t>BLR5-T-169</t>
  </si>
  <si>
    <t>22-Jun-2025</t>
  </si>
  <si>
    <t>BLR5-T-168</t>
  </si>
  <si>
    <t>BLR5-T-134</t>
  </si>
  <si>
    <t>33AAAFG2137L1ZO</t>
  </si>
  <si>
    <t>BLR7-851</t>
  </si>
  <si>
    <t>33-Tamil Nadu</t>
  </si>
  <si>
    <t>29AAICA3918J1CP</t>
  </si>
  <si>
    <t>27AMLPD1828L1ZV</t>
  </si>
  <si>
    <t>BLR7-893</t>
  </si>
  <si>
    <t>11-Jun-2025</t>
  </si>
  <si>
    <t>BLR5-T-127</t>
  </si>
  <si>
    <t>02-Jun-2025</t>
  </si>
  <si>
    <t>BLR5-T-173</t>
  </si>
  <si>
    <t>BLR5-T-141</t>
  </si>
  <si>
    <t>BLR5-T-163</t>
  </si>
  <si>
    <t>19-Jun-2025</t>
  </si>
  <si>
    <t>BLR5-T-157</t>
  </si>
  <si>
    <t>15-Jun-2025</t>
  </si>
  <si>
    <t>33AAFFD8112K1ZL</t>
  </si>
  <si>
    <t>BLR7-754</t>
  </si>
  <si>
    <t>03-Jun-2025</t>
  </si>
  <si>
    <t>29EWWPK2655B1Z3</t>
  </si>
  <si>
    <t>BLR8-441</t>
  </si>
  <si>
    <t>12-Jun-2025</t>
  </si>
  <si>
    <t>29-Karnataka</t>
  </si>
  <si>
    <t>BLR7-T-27</t>
  </si>
  <si>
    <t>BLR7-T-38</t>
  </si>
  <si>
    <t>06AAJCD0565D1ZY</t>
  </si>
  <si>
    <t>BLR7-T-33</t>
  </si>
  <si>
    <t>06-Haryana</t>
  </si>
  <si>
    <t>BLR5-T-167</t>
  </si>
  <si>
    <t>BLR5-T-153</t>
  </si>
  <si>
    <t>13-Jun-2025</t>
  </si>
  <si>
    <t>BLR5-T-164</t>
  </si>
  <si>
    <t>20-Jun-2025</t>
  </si>
  <si>
    <t>BLR5-T-170</t>
  </si>
  <si>
    <t>23-Jun-2025</t>
  </si>
  <si>
    <t>BLR7-T-36</t>
  </si>
  <si>
    <t>BLR5-T-154</t>
  </si>
  <si>
    <t>BLR5-T-160</t>
  </si>
  <si>
    <t>17-Jun-2025</t>
  </si>
  <si>
    <t>BLR7-T-34</t>
  </si>
  <si>
    <t>BLR7-T-31</t>
  </si>
  <si>
    <t>06-Jun-2025</t>
  </si>
  <si>
    <t>BLR5-T-148</t>
  </si>
  <si>
    <t>BLR5-T-159</t>
  </si>
  <si>
    <t>16-Jun-2025</t>
  </si>
  <si>
    <t>BLR7-T-39</t>
  </si>
  <si>
    <t>BLR5-T-140</t>
  </si>
  <si>
    <t>BLR5-T-161</t>
  </si>
  <si>
    <t>18-Jun-2025</t>
  </si>
  <si>
    <t>BLR5-T-135</t>
  </si>
  <si>
    <t>BLR5-T-139</t>
  </si>
  <si>
    <t>07-Jun-2025</t>
  </si>
  <si>
    <t>BLR5-T-177</t>
  </si>
  <si>
    <t>BLR5-T-165</t>
  </si>
  <si>
    <t>BLR5-T-149</t>
  </si>
  <si>
    <t>BLR5-T-171</t>
  </si>
  <si>
    <t>BLR5-T-152</t>
  </si>
  <si>
    <t>BLR8-T-23</t>
  </si>
  <si>
    <t>25-Jun-2025</t>
  </si>
  <si>
    <t>BLR7-T-37</t>
  </si>
  <si>
    <t>BLR7-T-28</t>
  </si>
  <si>
    <t>BLR5-T-156</t>
  </si>
  <si>
    <t>BLR5-T-126</t>
  </si>
  <si>
    <t>BLR7-T-35</t>
  </si>
  <si>
    <t>BLR5-T-146</t>
  </si>
  <si>
    <t>BLR5-T-150</t>
  </si>
  <si>
    <t>BLR8-T-21</t>
  </si>
  <si>
    <t>BLR7-T-29</t>
  </si>
  <si>
    <t>BLR8-T-22</t>
  </si>
  <si>
    <t>BLR7-T-42</t>
  </si>
  <si>
    <t>26-Jun-2025</t>
  </si>
  <si>
    <t>BLR5-T-176</t>
  </si>
  <si>
    <t>BLR8-T-20</t>
  </si>
  <si>
    <t>BLR5-T-128</t>
  </si>
  <si>
    <t>BLR5-T-137</t>
  </si>
  <si>
    <t>BLR5-T-172</t>
  </si>
  <si>
    <t>BLR5-T-129</t>
  </si>
  <si>
    <t>BLR5-T-158</t>
  </si>
  <si>
    <t>BLR5-T-132</t>
  </si>
  <si>
    <t>BLR7-T-30</t>
  </si>
  <si>
    <t>BLR5-T-151</t>
  </si>
  <si>
    <t>BLR7-T-40</t>
  </si>
  <si>
    <t>BLR5-T-162</t>
  </si>
  <si>
    <t>BLR5-T-133</t>
  </si>
  <si>
    <t>BLR5-T-130</t>
  </si>
  <si>
    <t>BLR5-T-147</t>
  </si>
  <si>
    <t>BLR5-T-138</t>
  </si>
  <si>
    <t>BLR5-T-125</t>
  </si>
  <si>
    <t>01-Jun-2025</t>
  </si>
  <si>
    <t>BLR8-T-19</t>
  </si>
  <si>
    <t>Summary For CDNR</t>
  </si>
  <si>
    <t>No. of Notes</t>
  </si>
  <si>
    <t>Total Note Value</t>
  </si>
  <si>
    <t>Note Number</t>
  </si>
  <si>
    <t>Note Date</t>
  </si>
  <si>
    <t>Note Type</t>
  </si>
  <si>
    <t>Note Supply Type</t>
  </si>
  <si>
    <t>Note Value</t>
  </si>
  <si>
    <t>Invoice/Advance Receipt Number</t>
  </si>
  <si>
    <t>Invoice/Advance Receipt Date</t>
  </si>
  <si>
    <t>Reason for Issuing Document</t>
  </si>
  <si>
    <t>BLR7-C-138</t>
  </si>
  <si>
    <t>C</t>
  </si>
  <si>
    <t>01-Sales Return</t>
  </si>
  <si>
    <t>BLR8-C-73</t>
  </si>
  <si>
    <t>Summary For CDNUR</t>
  </si>
  <si>
    <t>UR Type</t>
  </si>
  <si>
    <t>Summary For B2CL</t>
  </si>
  <si>
    <t>Summary For B2CS</t>
  </si>
  <si>
    <t>Type</t>
  </si>
  <si>
    <t>E</t>
  </si>
  <si>
    <t>07-Delhi</t>
  </si>
  <si>
    <t>34-Puducherry</t>
  </si>
  <si>
    <t>35-Andaman &amp; Nicobar Islands</t>
  </si>
  <si>
    <t>21-Odisha</t>
  </si>
  <si>
    <t>04-Chandigarh</t>
  </si>
  <si>
    <t>37-Andhra Pradesh</t>
  </si>
  <si>
    <t>14-Manipur</t>
  </si>
  <si>
    <t>30-Goa</t>
  </si>
  <si>
    <t>32-Kerala</t>
  </si>
  <si>
    <t>03-Punjab</t>
  </si>
  <si>
    <t>19-West Bengal</t>
  </si>
  <si>
    <t>23-Madhya Pradesh</t>
  </si>
  <si>
    <t>24-Gujarat</t>
  </si>
  <si>
    <t>22-Chhattisgarh</t>
  </si>
  <si>
    <t>20-Jharkhand</t>
  </si>
  <si>
    <t>Summary for HSN</t>
  </si>
  <si>
    <t>No. of HSN</t>
  </si>
  <si>
    <t>Total Value</t>
  </si>
  <si>
    <t>Total Integrated Tax</t>
  </si>
  <si>
    <t>Total Central Tax</t>
  </si>
  <si>
    <t>Total State/UT Tax</t>
  </si>
  <si>
    <t>HSN</t>
  </si>
  <si>
    <t>Description</t>
  </si>
  <si>
    <t>UQC</t>
  </si>
  <si>
    <t>Total Quantity</t>
  </si>
  <si>
    <t>Integrated Tax Amount</t>
  </si>
  <si>
    <t>Central Tax Amount</t>
  </si>
  <si>
    <t>State/UT Tax Amount</t>
  </si>
  <si>
    <t>96151900</t>
  </si>
  <si>
    <t>PCS</t>
  </si>
  <si>
    <t>71179010</t>
  </si>
  <si>
    <t>961511</t>
  </si>
  <si>
    <t>7117</t>
  </si>
  <si>
    <t>38021000</t>
  </si>
  <si>
    <t>33059011</t>
  </si>
  <si>
    <t>96151100</t>
  </si>
  <si>
    <t>961590</t>
  </si>
  <si>
    <t>96159100</t>
  </si>
  <si>
    <t>711790</t>
  </si>
  <si>
    <t>9615</t>
  </si>
  <si>
    <t>Place of supply</t>
  </si>
  <si>
    <t xml:space="preserve">Rate </t>
  </si>
  <si>
    <t>Quantity</t>
  </si>
  <si>
    <t>IGST</t>
  </si>
  <si>
    <t>CGST</t>
  </si>
  <si>
    <t>SGST</t>
  </si>
  <si>
    <t>Sum of Quantity</t>
  </si>
  <si>
    <t>Sum of Invoice Value</t>
  </si>
  <si>
    <t>Sum of IGST</t>
  </si>
  <si>
    <t>Sum of Taxable Value</t>
  </si>
  <si>
    <t>Sum of SGST</t>
  </si>
  <si>
    <t>Sum of CGST</t>
  </si>
  <si>
    <t>From</t>
  </si>
  <si>
    <t>To</t>
  </si>
  <si>
    <t>Total</t>
  </si>
  <si>
    <t>CANCELED</t>
  </si>
  <si>
    <t>Invoice</t>
  </si>
  <si>
    <t>Credit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</si>
</sst>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3" x14ac:knownFonts="1">
    <font>
      <sz val="11"/>
      <color indexed="8"/>
      <name val="Calibri"/>
      <family val="2"/>
      <scheme val="minor"/>
    </font>
    <font>
      <b/>
      <sz val="11"/>
      <color indexed="9"/>
      <name val="Times New Roman"/>
    </font>
    <font>
      <sz val="11"/>
      <name val="Times New Roman"/>
    </font>
    <font>
      <b/>
      <sz val="11"/>
      <color indexed="9"/>
      <name val="Times New Roman"/>
    </font>
    <font>
      <b/>
      <sz val="11"/>
      <color indexed="9"/>
      <name val="Times New Roman"/>
    </font>
    <font>
      <b/>
      <sz val="11"/>
      <color indexed="9"/>
      <name val="Times New Roman"/>
    </font>
    <font>
      <b/>
      <sz val="11"/>
      <color indexed="9"/>
      <name val="Times New Roman"/>
    </font>
    <font>
      <sz val="11"/>
      <name val="Times New Roman"/>
    </font>
    <font>
      <sz val="11"/>
      <name val="Times New Roman"/>
    </font>
    <font>
      <sz val="11"/>
      <name val="Times New Roman"/>
    </font>
    <font>
      <sz val="11"/>
      <name val="Times New Roman"/>
    </font>
    <font>
      <sz val="11"/>
      <name val="Times New Roman"/>
    </font>
    <font>
      <sz val="11"/>
      <name val="Times New Roman"/>
    </font>
    <font>
      <sz val="11"/>
      <name val="Times New Roman"/>
    </font>
    <font>
      <sz val="11"/>
      <name val="Times New Roman"/>
    </font>
    <font>
      <sz val="11"/>
      <name val="Times New Roman"/>
    </font>
    <font>
      <sz val="11"/>
      <name val="Times New Roman"/>
    </font>
    <font>
      <sz val="11"/>
      <name val="Times New Roman"/>
    </font>
    <font>
      <sz val="11"/>
      <name val="Times New Roman"/>
    </font>
    <font>
      <sz val="11"/>
      <name val="Times New Roman"/>
    </font>
    <font>
      <sz val="11"/>
      <name val="Times New Roman"/>
    </font>
    <font>
      <sz val="11"/>
      <name val="Times New Roman"/>
    </font>
    <font>
      <sz val="11"/>
      <name val="Times New Roman"/>
    </font>
    <font>
      <sz val="11"/>
      <name val="Times New Roman"/>
    </font>
    <font>
      <sz val="11"/>
      <name val="Times New Roman"/>
    </font>
    <font>
      <sz val="11"/>
      <name val="Times New Roman"/>
    </font>
    <font>
      <sz val="11"/>
      <name val="Times New Roman"/>
    </font>
    <font>
      <sz val="11"/>
      <name val="Times New Roman"/>
    </font>
    <font>
      <sz val="11"/>
      <name val="Times New Roman"/>
    </font>
    <font>
      <sz val="11"/>
      <name val="Times New Roman"/>
    </font>
    <font>
      <sz val="11"/>
      <name val="Times New Roman"/>
    </font>
    <font>
      <b/>
      <sz val="11"/>
      <color indexed="9"/>
      <name val="Times New Roman"/>
    </font>
    <font>
      <b/>
      <sz val="11"/>
      <color indexed="9"/>
      <name val="Times New Roman"/>
    </font>
    <font>
      <b/>
      <sz val="11"/>
      <color indexed="9"/>
      <name val="Times New Roman"/>
    </font>
    <font>
      <b/>
      <sz val="11"/>
      <color indexed="9"/>
      <name val="Times New Roman"/>
    </font>
    <font>
      <b/>
      <sz val="11"/>
      <color indexed="9"/>
      <name val="Times New Roman"/>
    </font>
    <font>
      <b/>
      <sz val="11"/>
      <color indexed="9"/>
      <name val="Times New Roman"/>
    </font>
    <font>
      <b/>
      <sz val="11"/>
      <color indexed="9"/>
      <name val="Times New Roman"/>
    </font>
    <font>
      <b/>
      <sz val="11"/>
      <color indexed="9"/>
      <name val="Times New Roman"/>
    </font>
    <font>
      <b/>
      <sz val="11"/>
      <color indexed="9"/>
      <name val="Times New Roman"/>
    </font>
    <font>
      <b/>
      <sz val="11"/>
      <color indexed="9"/>
      <name val="Times New Roman"/>
    </font>
    <font>
      <b/>
      <sz val="11"/>
      <color indexed="9"/>
      <name val="Times New Roman"/>
    </font>
    <font>
      <b/>
      <sz val="11"/>
      <color indexed="9"/>
      <name val="Times New Roman"/>
    </font>
  </fonts>
  <fills count="4">
    <fill>
      <patternFill patternType="none"/>
    </fill>
    <fill>
      <patternFill patternType="gray125"/>
    </fill>
    <fill>
      <patternFill patternType="solid">
        <fgColor indexed="30"/>
      </patternFill>
    </fill>
    <fill>
      <patternFill patternType="solid">
        <fgColor indexed="47"/>
      </patternFill>
    </fill>
  </fills>
  <borders count="1">
    <border>
      <left/>
      <right/>
      <top/>
      <bottom/>
      <diagonal/>
    </border>
  </borders>
  <cellStyleXfs count="1">
    <xf numFmtId="0" fontId="0" fillId="0" borderId="0"/>
  </cellStyleXfs>
  <cellXfs count="48">
    <xf numFmtId="0" fontId="0" fillId="0" borderId="0" xfId="0"/>
    <xf numFmtId="0" fontId="1" fillId="2" borderId="0" xfId="0" applyFont="1" applyFill="1"/>
    <xf numFmtId="0" fontId="3" fillId="2" borderId="0" xfId="0" applyFont="1" applyFill="1" applyAlignment="1">
      <alignment horizontal="center" vertical="center" wrapText="1"/>
    </xf>
    <xf numFmtId="0" fontId="4"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7" fillId="0" borderId="0" xfId="0" applyFont="1" applyAlignment="1">
      <alignment vertical="center" wrapText="1"/>
    </xf>
    <xf numFmtId="0" fontId="8" fillId="0" borderId="0" xfId="0" applyFont="1" applyAlignment="1">
      <alignment vertical="center" wrapText="1"/>
    </xf>
    <xf numFmtId="0" fontId="9" fillId="0" borderId="0" xfId="0" applyFont="1" applyAlignment="1">
      <alignment vertical="center" wrapText="1"/>
    </xf>
    <xf numFmtId="0" fontId="10" fillId="0" borderId="0" xfId="0" applyFont="1" applyAlignment="1">
      <alignment vertical="center" wrapText="1"/>
    </xf>
    <xf numFmtId="0" fontId="11" fillId="0" borderId="0" xfId="0" applyFont="1" applyAlignment="1">
      <alignment vertical="center" wrapText="1"/>
    </xf>
    <xf numFmtId="0" fontId="12" fillId="0" borderId="0" xfId="0" applyFont="1" applyAlignment="1">
      <alignment vertical="center" wrapText="1"/>
    </xf>
    <xf numFmtId="0" fontId="13" fillId="0" borderId="0" xfId="0" applyFont="1" applyAlignment="1">
      <alignment vertical="center" wrapText="1"/>
    </xf>
    <xf numFmtId="0" fontId="14" fillId="0" borderId="0" xfId="0" applyFont="1" applyAlignment="1">
      <alignment vertical="center" wrapText="1"/>
    </xf>
    <xf numFmtId="0" fontId="15" fillId="0" borderId="0" xfId="0" applyFont="1" applyAlignment="1">
      <alignment vertical="center" wrapText="1"/>
    </xf>
    <xf numFmtId="0" fontId="16" fillId="0" borderId="0" xfId="0" applyFont="1" applyAlignment="1">
      <alignment vertical="center" wrapText="1"/>
    </xf>
    <xf numFmtId="0" fontId="17" fillId="0" borderId="0" xfId="0" applyFont="1" applyAlignment="1">
      <alignment vertical="center" wrapText="1"/>
    </xf>
    <xf numFmtId="0" fontId="18" fillId="0" borderId="0" xfId="0" applyFont="1" applyAlignment="1">
      <alignment vertical="center" wrapText="1"/>
    </xf>
    <xf numFmtId="0" fontId="19" fillId="0" borderId="0" xfId="0" applyFont="1" applyAlignment="1">
      <alignment vertical="center" wrapText="1"/>
    </xf>
    <xf numFmtId="0" fontId="20" fillId="0" borderId="0" xfId="0" applyFont="1" applyAlignment="1">
      <alignment vertical="center" wrapText="1"/>
    </xf>
    <xf numFmtId="0" fontId="21" fillId="0" borderId="0" xfId="0" applyFont="1" applyAlignment="1">
      <alignment vertical="center" wrapText="1"/>
    </xf>
    <xf numFmtId="0" fontId="22" fillId="0" borderId="0" xfId="0" applyFont="1" applyAlignment="1">
      <alignment vertical="center" wrapText="1"/>
    </xf>
    <xf numFmtId="0" fontId="23" fillId="0" borderId="0" xfId="0" applyFont="1" applyAlignment="1">
      <alignment vertical="center" wrapText="1"/>
    </xf>
    <xf numFmtId="0" fontId="24" fillId="0" borderId="0" xfId="0" applyFont="1" applyAlignment="1">
      <alignment vertical="center" wrapText="1"/>
    </xf>
    <xf numFmtId="0" fontId="25" fillId="0" borderId="0" xfId="0" applyFont="1" applyAlignment="1">
      <alignment vertical="center" wrapText="1"/>
    </xf>
    <xf numFmtId="0" fontId="26" fillId="0" borderId="0" xfId="0" applyFont="1" applyAlignment="1">
      <alignment vertical="center" wrapText="1"/>
    </xf>
    <xf numFmtId="0" fontId="27" fillId="0" borderId="0" xfId="0" applyFont="1" applyAlignment="1">
      <alignment vertical="center" wrapText="1"/>
    </xf>
    <xf numFmtId="0" fontId="28" fillId="0" borderId="0" xfId="0" applyFont="1" applyAlignment="1">
      <alignment vertical="center" wrapText="1"/>
    </xf>
    <xf numFmtId="0" fontId="29" fillId="0" borderId="0" xfId="0" applyFont="1" applyAlignment="1">
      <alignment vertical="center" wrapText="1"/>
    </xf>
    <xf numFmtId="0" fontId="30" fillId="0" borderId="0" xfId="0" applyFont="1" applyAlignment="1">
      <alignment vertical="center" wrapText="1"/>
    </xf>
    <xf numFmtId="0" fontId="31" fillId="2" borderId="0" xfId="0" applyFont="1" applyFill="1"/>
    <xf numFmtId="4" fontId="0" fillId="0" borderId="0" xfId="0" applyNumberFormat="1"/>
    <xf numFmtId="0" fontId="32" fillId="2" borderId="0" xfId="0" applyFont="1" applyFill="1"/>
    <xf numFmtId="0" fontId="0" fillId="3" borderId="0" xfId="0" applyFill="1"/>
    <xf numFmtId="0" fontId="33" fillId="2" borderId="0" xfId="0" applyFont="1" applyFill="1"/>
    <xf numFmtId="0" fontId="34" fillId="2" borderId="0" xfId="0" applyFont="1" applyFill="1"/>
    <xf numFmtId="0" fontId="35" fillId="2" borderId="0" xfId="0" applyFont="1" applyFill="1"/>
    <xf numFmtId="0" fontId="36" fillId="2" borderId="0" xfId="0" applyFont="1" applyFill="1"/>
    <xf numFmtId="0" fontId="37" fillId="2" borderId="0" xfId="0" applyFont="1" applyFill="1"/>
    <xf numFmtId="0" fontId="38" fillId="2" borderId="0" xfId="0" applyFont="1" applyFill="1"/>
    <xf numFmtId="0" fontId="39" fillId="2" borderId="0" xfId="0" applyFont="1" applyFill="1"/>
    <xf numFmtId="0" fontId="40" fillId="2" borderId="0" xfId="0" applyFont="1" applyFill="1"/>
    <xf numFmtId="0" fontId="41" fillId="2" borderId="0" xfId="0" applyFont="1" applyFill="1"/>
    <xf numFmtId="0" fontId="42" fillId="2" borderId="0" xfId="0" applyFont="1" applyFill="1"/>
    <xf numFmtId="0" fontId="2" fillId="0" borderId="0" xfId="0" applyFont="1" applyAlignment="1">
      <alignment vertical="center" wrapText="1"/>
    </xf>
    <xf numFmtId="0" fontId="0" fillId="0" borderId="0" xfId="0"/>
    <xf numFmtId="0" fontId="0" fillId="0" borderId="0" xfId="0" applyNumberFormat="1"/>
    <xf numFmtId="0" fontId="0" fillId="0" borderId="0" xfId="0" pivotButton="1"/>
  </cellXfs>
  <cellStyles count="1">
    <cellStyle name="Normal" xfId="0" builtinId="0"/>
  </cellStyles>
  <dxfs count="1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powerPivotData" Target="model/item.data"/><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28.527178587959" createdVersion="8" refreshedVersion="8" minRefreshableVersion="3" recordCount="79" xr:uid="{276D4CB1-3ED8-4973-B4A3-51BA5E4A4AEF}">
  <cacheSource type="worksheet">
    <worksheetSource ref="A1:I80" sheet="HSN(B2B)"/>
  </cacheSource>
  <cacheFields count="9">
    <cacheField name="Place of supply" numFmtId="0">
      <sharedItems/>
    </cacheField>
    <cacheField name="HSN" numFmtId="0">
      <sharedItems containsSemiMixedTypes="0" containsString="0" containsNumber="1" containsInteger="1" minValue="9615" maxValue="71179010" count="2">
        <n v="71179010"/>
        <n v="9615"/>
      </sharedItems>
    </cacheField>
    <cacheField name="Rate " numFmtId="0">
      <sharedItems containsSemiMixedTypes="0" containsString="0" containsNumber="1" containsInteger="1" minValue="3" maxValue="12" count="2">
        <n v="3"/>
        <n v="12"/>
      </sharedItems>
    </cacheField>
    <cacheField name="Quantity" numFmtId="0">
      <sharedItems containsSemiMixedTypes="0" containsString="0" containsNumber="1" containsInteger="1" minValue="1" maxValue="1"/>
    </cacheField>
    <cacheField name="Invoice Value" numFmtId="0">
      <sharedItems containsSemiMixedTypes="0" containsString="0" containsNumber="1" minValue="54" maxValue="9111.5299999999988"/>
    </cacheField>
    <cacheField name="Taxable Value" numFmtId="0">
      <sharedItems containsSemiMixedTypes="0" containsString="0" containsNumber="1" minValue="52.43" maxValue="8846.15"/>
    </cacheField>
    <cacheField name="IGST" numFmtId="0">
      <sharedItems containsString="0" containsBlank="1" containsNumber="1" minValue="1.57" maxValue="265.38"/>
    </cacheField>
    <cacheField name="CGST" numFmtId="0">
      <sharedItems containsSemiMixedTypes="0" containsString="0" containsNumber="1" minValue="0" maxValue="4.3499999999999996"/>
    </cacheField>
    <cacheField name="SGST" numFmtId="0">
      <sharedItems containsSemiMixedTypes="0" containsString="0" containsNumber="1" minValue="0" maxValue="4.3499999999999996"/>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28.577853240742" createdVersion="8" refreshedVersion="8" minRefreshableVersion="3" recordCount="22" xr:uid="{B326B0E0-1B72-4B7C-A3A9-C281E4EE0334}">
  <cacheSource type="worksheet">
    <worksheetSource ref="A1:I23" sheet="HSN(B2C)"/>
  </cacheSource>
  <cacheFields count="9">
    <cacheField name="Place of supply" numFmtId="0">
      <sharedItems/>
    </cacheField>
    <cacheField name="HSN" numFmtId="0">
      <sharedItems containsSemiMixedTypes="0" containsString="0" containsNumber="1" containsInteger="1" minValue="9615" maxValue="95059090" count="4">
        <n v="71179010"/>
        <n v="95059090"/>
        <n v="9615"/>
        <n v="85182110"/>
      </sharedItems>
    </cacheField>
    <cacheField name="Rate " numFmtId="0">
      <sharedItems containsSemiMixedTypes="0" containsString="0" containsNumber="1" containsInteger="1" minValue="0" maxValue="18" count="4">
        <n v="3"/>
        <n v="0"/>
        <n v="12"/>
        <n v="18"/>
      </sharedItems>
    </cacheField>
    <cacheField name="Quantity" numFmtId="0">
      <sharedItems containsSemiMixedTypes="0" containsString="0" containsNumber="1" containsInteger="1" minValue="1" maxValue="1"/>
    </cacheField>
    <cacheField name="Invoice Value" numFmtId="0">
      <sharedItems containsSemiMixedTypes="0" containsString="0" containsNumber="1" minValue="-76.7" maxValue="46046.309999999954"/>
    </cacheField>
    <cacheField name="Taxable Value" numFmtId="0">
      <sharedItems containsSemiMixedTypes="0" containsString="0" containsNumber="1" minValue="-76.7" maxValue="44063.459999999963"/>
    </cacheField>
    <cacheField name="IGST" numFmtId="0">
      <sharedItems containsSemiMixedTypes="0" containsString="0" containsNumber="1" minValue="0" maxValue="660.95"/>
    </cacheField>
    <cacheField name="CGST" numFmtId="0">
      <sharedItems containsSemiMixedTypes="0" containsString="0" containsNumber="1" minValue="0" maxValue="660.95"/>
    </cacheField>
    <cacheField name="SGST" numFmtId="0">
      <sharedItems containsSemiMixedTypes="0" containsString="0" containsNumber="1" minValue="0" maxValue="660.95"/>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28.579596296295" backgroundQuery="1" createdVersion="8" refreshedVersion="8" minRefreshableVersion="3" recordCount="0" supportSubquery="1" supportAdvancedDrill="1" xr:uid="{F73B47F1-5D5B-4D3A-BD8E-4E83732E1831}">
  <cacheSource type="external" connectionId="1"/>
  <cacheFields count="3">
    <cacheField name="[Range].[Place of supply].[Place of supply]" caption="Place of supply" numFmtId="0" level="1">
      <sharedItems count="15">
        <s v="03-Punjab"/>
        <s v="06-Haryana"/>
        <s v="09-Uttar Pradesh"/>
        <s v="14-Manipur"/>
        <s v="19-West Bengal"/>
        <s v="20-Jharkhand"/>
        <s v="22-Chhattisgarh"/>
        <s v="23-Madhya Pradesh"/>
        <s v="24-Gujarat"/>
        <s v="29-Karnataka"/>
        <s v="30-Goa"/>
        <s v="32-Kerala"/>
        <s v="33-Tamil Nadu"/>
        <s v="36-Telangana"/>
        <s v="37-Andhra Pradesh"/>
      </sharedItems>
    </cacheField>
    <cacheField name="[Measures].[Sum of Taxable Value]" caption="Sum of Taxable Value" numFmtId="0" hierarchy="11" level="32767"/>
    <cacheField name="[Range].[Rate].[Rate]" caption="Rate" numFmtId="0" hierarchy="2" level="1">
      <sharedItems containsSemiMixedTypes="0" containsString="0" containsNumber="1" containsInteger="1" minValue="0" maxValue="18" count="4">
        <n v="3"/>
        <n v="12"/>
        <n v="0"/>
        <n v="18"/>
      </sharedItems>
      <extLst>
        <ext xmlns:x15="http://schemas.microsoft.com/office/spreadsheetml/2010/11/main" uri="{4F2E5C28-24EA-4eb8-9CBF-B6C8F9C3D259}">
          <x15:cachedUniqueNames>
            <x15:cachedUniqueName index="0" name="[Range].[Rate].&amp;[3]"/>
            <x15:cachedUniqueName index="1" name="[Range].[Rate].&amp;[12]"/>
            <x15:cachedUniqueName index="2" name="[Range].[Rate].&amp;[0]"/>
            <x15:cachedUniqueName index="3" name="[Range].[Rate].&amp;[18]"/>
          </x15:cachedUniqueNames>
        </ext>
      </extLst>
    </cacheField>
  </cacheFields>
  <cacheHierarchies count="13">
    <cacheHierarchy uniqueName="[Range].[Place of supply]" caption="Place of supply" attribute="1" defaultMemberUniqueName="[Range].[Place of supply].[All]" allUniqueName="[Range].[Place of supply].[All]" dimensionUniqueName="[Range]" displayFolder="" count="2" memberValueDatatype="130" unbalanced="0">
      <fieldsUsage count="2">
        <fieldUsage x="-1"/>
        <fieldUsage x="0"/>
      </fieldsUsage>
    </cacheHierarchy>
    <cacheHierarchy uniqueName="[Range].[HSN]" caption="HSN" attribute="1" defaultMemberUniqueName="[Range].[HSN].[All]" allUniqueName="[Range].[HSN].[All]" dimensionUniqueName="[Range]" displayFolder="" count="0" memberValueDatatype="20" unbalanced="0"/>
    <cacheHierarchy uniqueName="[Range].[Rate]" caption="Rate" attribute="1" defaultMemberUniqueName="[Range].[Rate].[All]" allUniqueName="[Range].[Rate].[All]" dimensionUniqueName="[Range]" displayFolder="" count="2" memberValueDatatype="20" unbalanced="0">
      <fieldsUsage count="2">
        <fieldUsage x="-1"/>
        <fieldUsage x="2"/>
      </fieldsUsage>
    </cacheHierarchy>
    <cacheHierarchy uniqueName="[Range].[Quantity]" caption="Quantity" attribute="1" defaultMemberUniqueName="[Range].[Quantity].[All]" allUniqueName="[Range].[Quantity].[All]" dimensionUniqueName="[Range]" displayFolder="" count="0" memberValueDatatype="20" unbalanced="0"/>
    <cacheHierarchy uniqueName="[Range].[Invoice Value]" caption="Invoice Value" attribute="1" defaultMemberUniqueName="[Range].[Invoice Value].[All]" allUniqueName="[Range].[Invoice Value].[All]" dimensionUniqueName="[Range]" displayFolder="" count="0" memberValueDatatype="5" unbalanced="0"/>
    <cacheHierarchy uniqueName="[Range].[Taxable Value]" caption="Taxable Value" attribute="1" defaultMemberUniqueName="[Range].[Taxable Value].[All]" allUniqueName="[Range].[Taxable Value].[All]" dimensionUniqueName="[Range]" displayFolder="" count="0" memberValueDatatype="5" unbalanced="0"/>
    <cacheHierarchy uniqueName="[Range].[IGST]" caption="IGST" attribute="1" defaultMemberUniqueName="[Range].[IGST].[All]" allUniqueName="[Range].[IGST].[All]" dimensionUniqueName="[Range]" displayFolder="" count="0" memberValueDatatype="5" unbalanced="0"/>
    <cacheHierarchy uniqueName="[Range].[CGST]" caption="CGST" attribute="1" defaultMemberUniqueName="[Range].[CGST].[All]" allUniqueName="[Range].[CGST].[All]" dimensionUniqueName="[Range]" displayFolder="" count="0" memberValueDatatype="5" unbalanced="0"/>
    <cacheHierarchy uniqueName="[Range].[SGST]" caption="SGST" attribute="1" defaultMemberUniqueName="[Range].[SGST].[All]" allUniqueName="[Range].[SGST].[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axable Value]" caption="Sum of Taxable Value" measure="1" displayFolder="" measureGroup="Range"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Rate]" caption="Sum of Rate" measure="1" displayFolder="" measureGroup="Range"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9">
  <r>
    <s v="09-Uttar Pradesh"/>
    <x v="0"/>
    <x v="0"/>
    <n v="1"/>
    <n v="1385.4299999999998"/>
    <n v="1345.08"/>
    <n v="40.35"/>
    <n v="0"/>
    <n v="0"/>
  </r>
  <r>
    <s v="36-Telangana"/>
    <x v="0"/>
    <x v="0"/>
    <n v="1"/>
    <n v="515"/>
    <n v="500"/>
    <n v="15"/>
    <n v="0"/>
    <n v="0"/>
  </r>
  <r>
    <s v="27-Maharashtra"/>
    <x v="0"/>
    <x v="0"/>
    <n v="1"/>
    <n v="537.99999999999989"/>
    <n v="522.32999999999993"/>
    <n v="15.67"/>
    <n v="0"/>
    <n v="0"/>
  </r>
  <r>
    <s v="36-Telangana"/>
    <x v="0"/>
    <x v="0"/>
    <n v="1"/>
    <n v="245.99"/>
    <n v="238.83"/>
    <n v="7.16"/>
    <n v="0"/>
    <n v="0"/>
  </r>
  <r>
    <s v="09-Uttar Pradesh"/>
    <x v="0"/>
    <x v="0"/>
    <n v="1"/>
    <n v="9111.5299999999988"/>
    <n v="8846.15"/>
    <n v="265.38"/>
    <n v="0"/>
    <n v="0"/>
  </r>
  <r>
    <s v="36-Telangana"/>
    <x v="0"/>
    <x v="0"/>
    <n v="1"/>
    <n v="245.99"/>
    <n v="238.83"/>
    <n v="7.16"/>
    <n v="0"/>
    <n v="0"/>
  </r>
  <r>
    <s v="36-Telangana"/>
    <x v="0"/>
    <x v="0"/>
    <n v="1"/>
    <n v="299"/>
    <n v="290.29000000000002"/>
    <n v="8.7100000000000009"/>
    <n v="0"/>
    <n v="0"/>
  </r>
  <r>
    <s v="36-Telangana"/>
    <x v="0"/>
    <x v="0"/>
    <n v="1"/>
    <n v="299"/>
    <n v="290.29000000000002"/>
    <n v="8.7100000000000009"/>
    <n v="0"/>
    <n v="0"/>
  </r>
  <r>
    <s v="36-Telangana"/>
    <x v="0"/>
    <x v="0"/>
    <n v="1"/>
    <n v="245.99"/>
    <n v="238.83"/>
    <n v="7.16"/>
    <n v="0"/>
    <n v="0"/>
  </r>
  <r>
    <s v="36-Telangana"/>
    <x v="0"/>
    <x v="0"/>
    <n v="1"/>
    <n v="207"/>
    <n v="200.97"/>
    <n v="6.03"/>
    <n v="0"/>
    <n v="0"/>
  </r>
  <r>
    <s v="36-Telangana"/>
    <x v="0"/>
    <x v="0"/>
    <n v="1"/>
    <n v="281.39999999999998"/>
    <n v="273.2"/>
    <n v="8.1999999999999993"/>
    <n v="0"/>
    <n v="0"/>
  </r>
  <r>
    <s v="27-Maharashtra"/>
    <x v="0"/>
    <x v="0"/>
    <n v="1"/>
    <n v="816"/>
    <n v="792.23"/>
    <n v="23.77"/>
    <n v="0"/>
    <n v="0"/>
  </r>
  <r>
    <s v="09-Uttar Pradesh"/>
    <x v="1"/>
    <x v="1"/>
    <n v="1"/>
    <n v="294.32000000000005"/>
    <n v="262.79000000000002"/>
    <n v="31.53"/>
    <n v="0"/>
    <n v="0"/>
  </r>
  <r>
    <s v="36-Telangana"/>
    <x v="1"/>
    <x v="1"/>
    <n v="1"/>
    <n v="222"/>
    <n v="198.21"/>
    <n v="23.79"/>
    <n v="0"/>
    <n v="0"/>
  </r>
  <r>
    <s v="36-Telangana"/>
    <x v="0"/>
    <x v="0"/>
    <n v="1"/>
    <n v="243"/>
    <n v="235.92"/>
    <n v="7.08"/>
    <n v="0"/>
    <n v="0"/>
  </r>
  <r>
    <s v="33-Tamil Nadu"/>
    <x v="0"/>
    <x v="0"/>
    <n v="1"/>
    <n v="329"/>
    <n v="319.42"/>
    <n v="9.58"/>
    <n v="0"/>
    <n v="0"/>
  </r>
  <r>
    <s v="27-Maharashtra"/>
    <x v="0"/>
    <x v="0"/>
    <n v="1"/>
    <n v="340.1"/>
    <n v="330.19"/>
    <n v="9.91"/>
    <n v="0"/>
    <n v="0"/>
  </r>
  <r>
    <s v="36-Telangana"/>
    <x v="1"/>
    <x v="1"/>
    <n v="1"/>
    <n v="222"/>
    <n v="198.21"/>
    <n v="23.79"/>
    <n v="0"/>
    <n v="0"/>
  </r>
  <r>
    <s v="36-Telangana"/>
    <x v="0"/>
    <x v="0"/>
    <n v="1"/>
    <n v="299"/>
    <n v="290.29000000000002"/>
    <n v="8.7100000000000009"/>
    <n v="0"/>
    <n v="0"/>
  </r>
  <r>
    <s v="36-Telangana"/>
    <x v="0"/>
    <x v="0"/>
    <n v="1"/>
    <n v="250"/>
    <n v="242.72"/>
    <n v="7.28"/>
    <n v="0"/>
    <n v="0"/>
  </r>
  <r>
    <s v="36-Telangana"/>
    <x v="0"/>
    <x v="0"/>
    <n v="1"/>
    <n v="245"/>
    <n v="237.86"/>
    <n v="7.14"/>
    <n v="0"/>
    <n v="0"/>
  </r>
  <r>
    <s v="36-Telangana"/>
    <x v="0"/>
    <x v="0"/>
    <n v="1"/>
    <n v="237"/>
    <n v="230.1"/>
    <n v="6.9"/>
    <n v="0"/>
    <n v="0"/>
  </r>
  <r>
    <s v="33-Tamil Nadu"/>
    <x v="0"/>
    <x v="0"/>
    <n v="1"/>
    <n v="379"/>
    <n v="367.96"/>
    <n v="11.04"/>
    <n v="0"/>
    <n v="0"/>
  </r>
  <r>
    <s v="29-Karnataka"/>
    <x v="0"/>
    <x v="0"/>
    <n v="1"/>
    <n v="299.00000000000006"/>
    <n v="290.3"/>
    <m/>
    <n v="4.3499999999999996"/>
    <n v="4.3499999999999996"/>
  </r>
  <r>
    <s v="27-Maharashtra"/>
    <x v="0"/>
    <x v="0"/>
    <n v="1"/>
    <n v="798"/>
    <n v="774.76"/>
    <n v="23.24"/>
    <n v="0"/>
    <n v="0"/>
  </r>
  <r>
    <s v="36-Telangana"/>
    <x v="0"/>
    <x v="0"/>
    <n v="1"/>
    <n v="278"/>
    <n v="269.89999999999998"/>
    <n v="8.1"/>
    <n v="0"/>
    <n v="0"/>
  </r>
  <r>
    <s v="06-Haryana"/>
    <x v="0"/>
    <x v="0"/>
    <n v="1"/>
    <n v="80"/>
    <n v="77.67"/>
    <n v="2.33"/>
    <n v="0"/>
    <n v="0"/>
  </r>
  <r>
    <s v="36-Telangana"/>
    <x v="0"/>
    <x v="0"/>
    <n v="1"/>
    <n v="917"/>
    <n v="890.29"/>
    <n v="26.71"/>
    <n v="0"/>
    <n v="0"/>
  </r>
  <r>
    <s v="36-Telangana"/>
    <x v="0"/>
    <x v="0"/>
    <n v="1"/>
    <n v="499"/>
    <n v="484.47"/>
    <n v="14.53"/>
    <n v="0"/>
    <n v="0"/>
  </r>
  <r>
    <s v="36-Telangana"/>
    <x v="0"/>
    <x v="0"/>
    <n v="1"/>
    <n v="515"/>
    <n v="500"/>
    <n v="15"/>
    <n v="0"/>
    <n v="0"/>
  </r>
  <r>
    <s v="36-Telangana"/>
    <x v="0"/>
    <x v="0"/>
    <n v="1"/>
    <n v="207"/>
    <n v="200.97"/>
    <n v="6.03"/>
    <n v="0"/>
    <n v="0"/>
  </r>
  <r>
    <s v="06-Haryana"/>
    <x v="0"/>
    <x v="0"/>
    <n v="1"/>
    <n v="537.99999999999989"/>
    <n v="522.32999999999993"/>
    <n v="15.67"/>
    <n v="0"/>
    <n v="0"/>
  </r>
  <r>
    <s v="36-Telangana"/>
    <x v="0"/>
    <x v="0"/>
    <n v="1"/>
    <n v="281.39999999999998"/>
    <n v="273.2"/>
    <n v="8.1999999999999993"/>
    <n v="0"/>
    <n v="0"/>
  </r>
  <r>
    <s v="36-Telangana"/>
    <x v="0"/>
    <x v="0"/>
    <n v="1"/>
    <n v="319.82"/>
    <n v="310.5"/>
    <n v="9.32"/>
    <n v="0"/>
    <n v="0"/>
  </r>
  <r>
    <s v="36-Telangana"/>
    <x v="0"/>
    <x v="0"/>
    <n v="1"/>
    <n v="1145"/>
    <n v="1111.6500000000001"/>
    <n v="33.35"/>
    <n v="0"/>
    <n v="0"/>
  </r>
  <r>
    <s v="06-Haryana"/>
    <x v="0"/>
    <x v="0"/>
    <n v="1"/>
    <n v="537.99999999999989"/>
    <n v="522.32999999999993"/>
    <n v="15.67"/>
    <n v="0"/>
    <n v="0"/>
  </r>
  <r>
    <s v="36-Telangana"/>
    <x v="0"/>
    <x v="0"/>
    <n v="1"/>
    <n v="207"/>
    <n v="200.97"/>
    <n v="6.03"/>
    <n v="0"/>
    <n v="0"/>
  </r>
  <r>
    <s v="09-Uttar Pradesh"/>
    <x v="0"/>
    <x v="0"/>
    <n v="1"/>
    <n v="2757.31"/>
    <n v="2677"/>
    <n v="80.31"/>
    <n v="0"/>
    <n v="0"/>
  </r>
  <r>
    <s v="36-Telangana"/>
    <x v="0"/>
    <x v="0"/>
    <n v="1"/>
    <n v="167"/>
    <n v="162.13999999999999"/>
    <n v="4.8600000000000003"/>
    <n v="0"/>
    <n v="0"/>
  </r>
  <r>
    <s v="06-Haryana"/>
    <x v="0"/>
    <x v="0"/>
    <n v="1"/>
    <n v="798"/>
    <n v="774.76"/>
    <n v="23.24"/>
    <n v="0"/>
    <n v="0"/>
  </r>
  <r>
    <s v="36-Telangana"/>
    <x v="0"/>
    <x v="0"/>
    <n v="1"/>
    <n v="167"/>
    <n v="162.13999999999999"/>
    <n v="4.8600000000000003"/>
    <n v="0"/>
    <n v="0"/>
  </r>
  <r>
    <s v="36-Telangana"/>
    <x v="0"/>
    <x v="0"/>
    <n v="1"/>
    <n v="443.99"/>
    <n v="431.06"/>
    <n v="12.93"/>
    <n v="0"/>
    <n v="0"/>
  </r>
  <r>
    <s v="36-Telangana"/>
    <x v="0"/>
    <x v="0"/>
    <n v="1"/>
    <n v="161"/>
    <n v="156.31"/>
    <n v="4.6900000000000004"/>
    <n v="0"/>
    <n v="0"/>
  </r>
  <r>
    <s v="36-Telangana"/>
    <x v="0"/>
    <x v="0"/>
    <n v="1"/>
    <n v="245.99"/>
    <n v="238.83"/>
    <n v="7.16"/>
    <n v="0"/>
    <n v="0"/>
  </r>
  <r>
    <s v="36-Telangana"/>
    <x v="0"/>
    <x v="0"/>
    <n v="1"/>
    <n v="599"/>
    <n v="581.54999999999995"/>
    <n v="17.45"/>
    <n v="0"/>
    <n v="0"/>
  </r>
  <r>
    <s v="36-Telangana"/>
    <x v="0"/>
    <x v="0"/>
    <n v="1"/>
    <n v="245.99"/>
    <n v="238.83"/>
    <n v="7.16"/>
    <n v="0"/>
    <n v="0"/>
  </r>
  <r>
    <s v="36-Telangana"/>
    <x v="1"/>
    <x v="1"/>
    <n v="1"/>
    <n v="239"/>
    <n v="213.39"/>
    <n v="25.61"/>
    <n v="0"/>
    <n v="0"/>
  </r>
  <r>
    <s v="36-Telangana"/>
    <x v="0"/>
    <x v="0"/>
    <n v="1"/>
    <n v="671"/>
    <n v="651.46"/>
    <n v="19.54"/>
    <n v="0"/>
    <n v="0"/>
  </r>
  <r>
    <s v="36-Telangana"/>
    <x v="0"/>
    <x v="0"/>
    <n v="1"/>
    <n v="207"/>
    <n v="200.97"/>
    <n v="6.03"/>
    <n v="0"/>
    <n v="0"/>
  </r>
  <r>
    <s v="27-Maharashtra"/>
    <x v="0"/>
    <x v="0"/>
    <n v="1"/>
    <n v="299"/>
    <n v="290.29000000000002"/>
    <n v="8.7100000000000009"/>
    <n v="0"/>
    <n v="0"/>
  </r>
  <r>
    <s v="27-Maharashtra"/>
    <x v="0"/>
    <x v="0"/>
    <n v="1"/>
    <n v="1747"/>
    <n v="1696.12"/>
    <n v="50.88"/>
    <n v="0"/>
    <n v="0"/>
  </r>
  <r>
    <s v="06-Haryana"/>
    <x v="0"/>
    <x v="0"/>
    <n v="1"/>
    <n v="659"/>
    <n v="639.80999999999995"/>
    <n v="19.190000000000001"/>
    <n v="0"/>
    <n v="0"/>
  </r>
  <r>
    <s v="09-Uttar Pradesh"/>
    <x v="0"/>
    <x v="0"/>
    <n v="1"/>
    <n v="5047.63"/>
    <n v="4900.6099999999997"/>
    <n v="147.02000000000001"/>
    <n v="0"/>
    <n v="0"/>
  </r>
  <r>
    <s v="36-Telangana"/>
    <x v="0"/>
    <x v="0"/>
    <n v="1"/>
    <n v="359"/>
    <n v="348.54"/>
    <n v="10.46"/>
    <n v="0"/>
    <n v="0"/>
  </r>
  <r>
    <s v="06-Haryana"/>
    <x v="0"/>
    <x v="0"/>
    <n v="1"/>
    <n v="749.0100000000001"/>
    <n v="727.19"/>
    <n v="21.82"/>
    <n v="0"/>
    <n v="0"/>
  </r>
  <r>
    <s v="36-Telangana"/>
    <x v="0"/>
    <x v="0"/>
    <n v="1"/>
    <n v="245.99"/>
    <n v="238.83"/>
    <n v="7.16"/>
    <n v="0"/>
    <n v="0"/>
  </r>
  <r>
    <s v="36-Telangana"/>
    <x v="0"/>
    <x v="0"/>
    <n v="1"/>
    <n v="359"/>
    <n v="348.54"/>
    <n v="10.46"/>
    <n v="0"/>
    <n v="0"/>
  </r>
  <r>
    <s v="36-Telangana"/>
    <x v="0"/>
    <x v="0"/>
    <n v="1"/>
    <n v="214"/>
    <n v="207.77"/>
    <n v="6.23"/>
    <n v="0"/>
    <n v="0"/>
  </r>
  <r>
    <s v="36-Telangana"/>
    <x v="0"/>
    <x v="0"/>
    <n v="1"/>
    <n v="278"/>
    <n v="269.89999999999998"/>
    <n v="8.1"/>
    <n v="0"/>
    <n v="0"/>
  </r>
  <r>
    <s v="06-Haryana"/>
    <x v="0"/>
    <x v="0"/>
    <n v="1"/>
    <n v="334.01"/>
    <n v="324.27999999999997"/>
    <n v="9.73"/>
    <n v="0"/>
    <n v="0"/>
  </r>
  <r>
    <s v="36-Telangana"/>
    <x v="0"/>
    <x v="0"/>
    <n v="1"/>
    <n v="260"/>
    <n v="252.43"/>
    <n v="7.57"/>
    <n v="0"/>
    <n v="0"/>
  </r>
  <r>
    <s v="36-Telangana"/>
    <x v="0"/>
    <x v="0"/>
    <n v="1"/>
    <n v="281.39999999999998"/>
    <n v="273.2"/>
    <n v="8.1999999999999993"/>
    <n v="0"/>
    <n v="0"/>
  </r>
  <r>
    <s v="27-Maharashtra"/>
    <x v="0"/>
    <x v="0"/>
    <n v="1"/>
    <n v="353"/>
    <n v="342.72"/>
    <n v="10.28"/>
    <n v="0"/>
    <n v="0"/>
  </r>
  <r>
    <s v="36-Telangana"/>
    <x v="0"/>
    <x v="0"/>
    <n v="1"/>
    <n v="207"/>
    <n v="200.97"/>
    <n v="6.03"/>
    <n v="0"/>
    <n v="0"/>
  </r>
  <r>
    <s v="36-Telangana"/>
    <x v="0"/>
    <x v="0"/>
    <n v="1"/>
    <n v="174"/>
    <n v="168.93"/>
    <n v="5.07"/>
    <n v="0"/>
    <n v="0"/>
  </r>
  <r>
    <s v="36-Telangana"/>
    <x v="0"/>
    <x v="0"/>
    <n v="1"/>
    <n v="299"/>
    <n v="290.29000000000002"/>
    <n v="8.7100000000000009"/>
    <n v="0"/>
    <n v="0"/>
  </r>
  <r>
    <s v="36-Telangana"/>
    <x v="0"/>
    <x v="0"/>
    <n v="1"/>
    <n v="243"/>
    <n v="235.92"/>
    <n v="7.08"/>
    <n v="0"/>
    <n v="0"/>
  </r>
  <r>
    <s v="36-Telangana"/>
    <x v="0"/>
    <x v="0"/>
    <n v="1"/>
    <n v="371"/>
    <n v="360.19"/>
    <n v="10.81"/>
    <n v="0"/>
    <n v="0"/>
  </r>
  <r>
    <s v="36-Telangana"/>
    <x v="0"/>
    <x v="0"/>
    <n v="1"/>
    <n v="460"/>
    <n v="446.6"/>
    <n v="13.4"/>
    <n v="0"/>
    <n v="0"/>
  </r>
  <r>
    <s v="36-Telangana"/>
    <x v="0"/>
    <x v="0"/>
    <n v="1"/>
    <n v="250"/>
    <n v="242.72"/>
    <n v="7.28"/>
    <n v="0"/>
    <n v="0"/>
  </r>
  <r>
    <s v="36-Telangana"/>
    <x v="1"/>
    <x v="1"/>
    <n v="1"/>
    <n v="179"/>
    <n v="159.82"/>
    <n v="19.18"/>
    <n v="0"/>
    <n v="0"/>
  </r>
  <r>
    <s v="27-Maharashtra"/>
    <x v="0"/>
    <x v="0"/>
    <n v="1"/>
    <n v="299"/>
    <n v="290.29000000000002"/>
    <n v="8.7100000000000009"/>
    <n v="0"/>
    <n v="0"/>
  </r>
  <r>
    <s v="36-Telangana"/>
    <x v="0"/>
    <x v="0"/>
    <n v="1"/>
    <n v="207"/>
    <n v="200.97"/>
    <n v="6.03"/>
    <n v="0"/>
    <n v="0"/>
  </r>
  <r>
    <s v="36-Telangana"/>
    <x v="0"/>
    <x v="0"/>
    <n v="1"/>
    <n v="250"/>
    <n v="242.72"/>
    <n v="7.28"/>
    <n v="0"/>
    <n v="0"/>
  </r>
  <r>
    <s v="36-Telangana"/>
    <x v="0"/>
    <x v="0"/>
    <n v="1"/>
    <n v="353"/>
    <n v="342.72"/>
    <n v="10.28"/>
    <n v="0"/>
    <n v="0"/>
  </r>
  <r>
    <s v="36-Telangana"/>
    <x v="0"/>
    <x v="0"/>
    <n v="1"/>
    <n v="245.99"/>
    <n v="238.83"/>
    <n v="7.16"/>
    <n v="0"/>
    <n v="0"/>
  </r>
  <r>
    <s v="36-Telangana"/>
    <x v="0"/>
    <x v="0"/>
    <n v="1"/>
    <n v="499"/>
    <n v="484.47"/>
    <n v="14.53"/>
    <n v="0"/>
    <n v="0"/>
  </r>
  <r>
    <s v="36-Telangana"/>
    <x v="0"/>
    <x v="0"/>
    <n v="1"/>
    <n v="54"/>
    <n v="52.43"/>
    <n v="1.57"/>
    <n v="0"/>
    <n v="0"/>
  </r>
  <r>
    <s v="09-Uttar Pradesh"/>
    <x v="0"/>
    <x v="0"/>
    <n v="1"/>
    <n v="7006.2899999999991"/>
    <n v="6802.2199999999993"/>
    <n v="204.07"/>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
  <r>
    <s v="37-Andhra Pradesh"/>
    <x v="0"/>
    <x v="0"/>
    <n v="1"/>
    <n v="4424.26"/>
    <n v="4358.88"/>
    <n v="65.38"/>
    <n v="0"/>
    <n v="0"/>
  </r>
  <r>
    <s v="29-Karnataka"/>
    <x v="0"/>
    <x v="0"/>
    <n v="1"/>
    <n v="46046.309999999954"/>
    <n v="44063.459999999963"/>
    <n v="660.95"/>
    <n v="660.95"/>
    <n v="660.95"/>
  </r>
  <r>
    <s v="14-Manipur"/>
    <x v="0"/>
    <x v="0"/>
    <n v="1"/>
    <n v="335.32"/>
    <n v="0"/>
    <n v="0"/>
    <n v="0"/>
    <n v="335.32"/>
  </r>
  <r>
    <s v="36-Telangana"/>
    <x v="0"/>
    <x v="0"/>
    <n v="1"/>
    <n v="13735.930000000002"/>
    <n v="13532.940000000002"/>
    <n v="202.99"/>
    <n v="0"/>
    <n v="0"/>
  </r>
  <r>
    <s v="33-Tamil Nadu"/>
    <x v="1"/>
    <x v="1"/>
    <n v="1"/>
    <n v="-76.7"/>
    <n v="-76.7"/>
    <n v="0"/>
    <n v="0"/>
    <n v="0"/>
  </r>
  <r>
    <s v="30-Goa"/>
    <x v="2"/>
    <x v="2"/>
    <n v="1"/>
    <n v="282.97999999999996"/>
    <n v="266.95999999999998"/>
    <n v="16.02"/>
    <n v="0"/>
    <n v="0"/>
  </r>
  <r>
    <s v="32-Kerala"/>
    <x v="0"/>
    <x v="0"/>
    <n v="1"/>
    <n v="15562.960000000003"/>
    <n v="15332.970000000003"/>
    <n v="229.99"/>
    <n v="0"/>
    <n v="0"/>
  </r>
  <r>
    <s v="06-Haryana"/>
    <x v="2"/>
    <x v="2"/>
    <n v="1"/>
    <n v="254.59"/>
    <n v="240.18"/>
    <n v="14.41"/>
    <n v="0"/>
    <n v="0"/>
  </r>
  <r>
    <s v="33-Tamil Nadu"/>
    <x v="0"/>
    <x v="0"/>
    <n v="1"/>
    <n v="29549.770000000011"/>
    <n v="29113.070000000011"/>
    <n v="436.7"/>
    <n v="0"/>
    <n v="0"/>
  </r>
  <r>
    <s v="30-Goa"/>
    <x v="0"/>
    <x v="0"/>
    <n v="1"/>
    <n v="1254.46"/>
    <n v="1235.92"/>
    <n v="18.54"/>
    <n v="0"/>
    <n v="0"/>
  </r>
  <r>
    <s v="09-Uttar Pradesh"/>
    <x v="0"/>
    <x v="0"/>
    <n v="1"/>
    <n v="841.67000000000007"/>
    <n v="829.23"/>
    <n v="12.44"/>
    <n v="0"/>
    <n v="0"/>
  </r>
  <r>
    <s v="36-Telangana"/>
    <x v="2"/>
    <x v="2"/>
    <n v="1"/>
    <n v="572.16999999999996"/>
    <n v="539.78"/>
    <n v="32.39"/>
    <n v="0"/>
    <n v="0"/>
  </r>
  <r>
    <s v="32-Kerala"/>
    <x v="2"/>
    <x v="2"/>
    <n v="1"/>
    <n v="282.97999999999996"/>
    <n v="266.95999999999998"/>
    <n v="16.02"/>
    <n v="0"/>
    <n v="0"/>
  </r>
  <r>
    <s v="29-Karnataka"/>
    <x v="2"/>
    <x v="2"/>
    <n v="1"/>
    <n v="6594.6099999999988"/>
    <n v="5588.65"/>
    <n v="335.32"/>
    <n v="335.32"/>
    <n v="335.32"/>
  </r>
  <r>
    <s v="03-Punjab"/>
    <x v="0"/>
    <x v="0"/>
    <n v="1"/>
    <n v="600.41000000000008"/>
    <n v="261.17"/>
    <n v="3.92"/>
    <n v="0"/>
    <n v="335.32"/>
  </r>
  <r>
    <s v="19-West Bengal"/>
    <x v="0"/>
    <x v="0"/>
    <n v="1"/>
    <n v="3504.4799999999996"/>
    <n v="3452.6899999999996"/>
    <n v="51.79"/>
    <n v="0"/>
    <n v="0"/>
  </r>
  <r>
    <s v="23-Madhya Pradesh"/>
    <x v="0"/>
    <x v="0"/>
    <n v="1"/>
    <n v="767.66000000000008"/>
    <n v="756.32"/>
    <n v="11.34"/>
    <n v="0"/>
    <n v="0"/>
  </r>
  <r>
    <s v="33-Tamil Nadu"/>
    <x v="2"/>
    <x v="2"/>
    <n v="1"/>
    <n v="3618.9100000000003"/>
    <n v="3414.07"/>
    <n v="204.84"/>
    <n v="0"/>
    <n v="0"/>
  </r>
  <r>
    <s v="33-Tamil Nadu"/>
    <x v="3"/>
    <x v="3"/>
    <n v="1"/>
    <n v="313.15000000000003"/>
    <n v="287.29000000000002"/>
    <n v="25.86"/>
    <n v="0"/>
    <n v="0"/>
  </r>
  <r>
    <s v="24-Gujarat"/>
    <x v="0"/>
    <x v="0"/>
    <n v="1"/>
    <n v="2612.4500000000003"/>
    <n v="2573.84"/>
    <n v="38.61"/>
    <n v="0"/>
    <n v="0"/>
  </r>
  <r>
    <s v="22-Chhattisgarh"/>
    <x v="0"/>
    <x v="0"/>
    <n v="1"/>
    <n v="2698.12"/>
    <n v="2658.25"/>
    <n v="39.869999999999997"/>
    <n v="0"/>
    <n v="0"/>
  </r>
  <r>
    <s v="20-Jharkhand"/>
    <x v="0"/>
    <x v="0"/>
    <n v="1"/>
    <n v="0"/>
    <n v="0"/>
    <n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669D6AE-AD22-409C-AF4D-7DB6E195FC03}" name="PivotTable1"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N1:U3" firstHeaderRow="0" firstDataRow="1" firstDataCol="2"/>
  <pivotFields count="9">
    <pivotField compact="0" outline="0" showAll="0" defaultSubtotal="0"/>
    <pivotField axis="axisRow" compact="0" outline="0" showAll="0" defaultSubtotal="0">
      <items count="2">
        <item x="1"/>
        <item x="0"/>
      </items>
    </pivotField>
    <pivotField axis="axisRow" compact="0" outline="0" showAll="0" defaultSubtotal="0">
      <items count="2">
        <item x="0"/>
        <item x="1"/>
      </items>
    </pivotField>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s>
  <rowFields count="2">
    <field x="2"/>
    <field x="1"/>
  </rowFields>
  <rowItems count="2">
    <i>
      <x/>
      <x v="1"/>
    </i>
    <i>
      <x v="1"/>
      <x/>
    </i>
  </rowItems>
  <colFields count="1">
    <field x="-2"/>
  </colFields>
  <colItems count="6">
    <i>
      <x/>
    </i>
    <i i="1">
      <x v="1"/>
    </i>
    <i i="2">
      <x v="2"/>
    </i>
    <i i="3">
      <x v="3"/>
    </i>
    <i i="4">
      <x v="4"/>
    </i>
    <i i="5">
      <x v="5"/>
    </i>
  </colItems>
  <dataFields count="6">
    <dataField name="Sum of Quantity" fld="3" baseField="0" baseItem="0"/>
    <dataField name="Sum of Invoice Value" fld="4" baseField="0" baseItem="0"/>
    <dataField name="Sum of IGST" fld="6" baseField="0" baseItem="0"/>
    <dataField name="Sum of Taxable Value" fld="5" baseField="0" baseItem="0"/>
    <dataField name="Sum of SGST" fld="8" baseField="0" baseItem="0"/>
    <dataField name="Sum of CGST"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95A255D-68E3-4454-B4C1-617B020DE364}" name="PivotTable8" cacheId="6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M1:T5" firstHeaderRow="0" firstDataRow="1" firstDataCol="2"/>
  <pivotFields count="9">
    <pivotField compact="0" outline="0" showAll="0" defaultSubtotal="0"/>
    <pivotField axis="axisRow" compact="0" outline="0" showAll="0" defaultSubtotal="0">
      <items count="4">
        <item x="2"/>
        <item x="0"/>
        <item x="3"/>
        <item x="1"/>
      </items>
    </pivotField>
    <pivotField axis="axisRow" compact="0" outline="0" showAll="0" defaultSubtotal="0">
      <items count="4">
        <item x="1"/>
        <item x="0"/>
        <item x="2"/>
        <item x="3"/>
      </items>
    </pivotField>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s>
  <rowFields count="2">
    <field x="1"/>
    <field x="2"/>
  </rowFields>
  <rowItems count="4">
    <i>
      <x/>
      <x v="2"/>
    </i>
    <i>
      <x v="1"/>
      <x v="1"/>
    </i>
    <i>
      <x v="2"/>
      <x v="3"/>
    </i>
    <i>
      <x v="3"/>
      <x/>
    </i>
  </rowItems>
  <colFields count="1">
    <field x="-2"/>
  </colFields>
  <colItems count="6">
    <i>
      <x/>
    </i>
    <i i="1">
      <x v="1"/>
    </i>
    <i i="2">
      <x v="2"/>
    </i>
    <i i="3">
      <x v="3"/>
    </i>
    <i i="4">
      <x v="4"/>
    </i>
    <i i="5">
      <x v="5"/>
    </i>
  </colItems>
  <dataFields count="6">
    <dataField name="Sum of Quantity" fld="3" baseField="0" baseItem="0"/>
    <dataField name="Sum of Invoice Value" fld="4" baseField="0" baseItem="0"/>
    <dataField name="Sum of Taxable Value" fld="5" baseField="0" baseItem="0"/>
    <dataField name="Sum of IGST" fld="6" baseField="0" baseItem="0"/>
    <dataField name="Sum of CGST" fld="7" baseField="0" baseItem="0"/>
    <dataField name="Sum of SGS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9C4BBE7-D293-4437-A14C-D0DDE8F6A1DE}" name="PivotTable9" cacheId="88"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M14:O36" firstHeaderRow="1" firstDataRow="1" firstDataCol="2"/>
  <pivotFields count="3">
    <pivotField axis="axisRow" compact="0" allDrilled="1" outline="0" subtotalTop="0" showAll="0" dataSourceSort="1" defaultSubtotal="0" defaultAttributeDrillState="1">
      <items count="15">
        <item x="0"/>
        <item x="1"/>
        <item x="2"/>
        <item x="3"/>
        <item x="4"/>
        <item x="5"/>
        <item x="6"/>
        <item x="7"/>
        <item x="8"/>
        <item x="9"/>
        <item x="10"/>
        <item x="11"/>
        <item x="12"/>
        <item x="13"/>
        <item x="14"/>
      </items>
    </pivotField>
    <pivotField dataField="1" compact="0" outline="0" subtotalTop="0" showAll="0" defaultSubtotal="0"/>
    <pivotField axis="axisRow" compact="0" allDrilled="1" outline="0" subtotalTop="0" showAll="0" dataSourceSort="1" defaultSubtotal="0" defaultAttributeDrillState="1">
      <items count="4">
        <item x="0"/>
        <item x="1"/>
        <item x="2"/>
        <item x="3"/>
      </items>
    </pivotField>
  </pivotFields>
  <rowFields count="2">
    <field x="0"/>
    <field x="2"/>
  </rowFields>
  <rowItems count="22">
    <i>
      <x/>
      <x/>
    </i>
    <i>
      <x v="1"/>
      <x v="1"/>
    </i>
    <i>
      <x v="2"/>
      <x/>
    </i>
    <i>
      <x v="3"/>
      <x/>
    </i>
    <i>
      <x v="4"/>
      <x/>
    </i>
    <i>
      <x v="5"/>
      <x/>
    </i>
    <i>
      <x v="6"/>
      <x/>
    </i>
    <i>
      <x v="7"/>
      <x/>
    </i>
    <i>
      <x v="8"/>
      <x/>
    </i>
    <i>
      <x v="9"/>
      <x/>
    </i>
    <i r="1">
      <x v="1"/>
    </i>
    <i>
      <x v="10"/>
      <x/>
    </i>
    <i r="1">
      <x v="1"/>
    </i>
    <i>
      <x v="11"/>
      <x/>
    </i>
    <i r="1">
      <x v="1"/>
    </i>
    <i>
      <x v="12"/>
      <x v="2"/>
    </i>
    <i r="1">
      <x/>
    </i>
    <i r="1">
      <x v="1"/>
    </i>
    <i r="1">
      <x v="3"/>
    </i>
    <i>
      <x v="13"/>
      <x/>
    </i>
    <i r="1">
      <x v="1"/>
    </i>
    <i>
      <x v="14"/>
      <x/>
    </i>
  </rowItems>
  <colItems count="1">
    <i/>
  </colItems>
  <dataFields count="1">
    <dataField name="Sum of Taxable Value" fld="1" baseField="0" baseItem="0"/>
  </dataFields>
  <pivotHierarchies count="13">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2">
    <rowHierarchyUsage hierarchyUsage="0"/>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SN(B2C)!$A$1:$I$23">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D15"/>
  <sheetViews>
    <sheetView topLeftCell="A3" workbookViewId="0">
      <selection activeCell="D3" sqref="D3"/>
    </sheetView>
  </sheetViews>
  <sheetFormatPr defaultRowHeight="14.4" x14ac:dyDescent="0.3"/>
  <cols>
    <col min="1" max="2" width="21" customWidth="1"/>
    <col min="3" max="3" width="76.44140625" customWidth="1"/>
    <col min="4" max="4" width="85.44140625" customWidth="1"/>
  </cols>
  <sheetData>
    <row r="2" spans="1:4" x14ac:dyDescent="0.3">
      <c r="A2" s="1" t="s">
        <v>0</v>
      </c>
    </row>
    <row r="3" spans="1:4" x14ac:dyDescent="0.3">
      <c r="A3" t="s">
        <v>1</v>
      </c>
    </row>
    <row r="5" spans="1:4" x14ac:dyDescent="0.3">
      <c r="A5" s="44" t="s">
        <v>2</v>
      </c>
      <c r="B5" s="45"/>
      <c r="C5" s="45"/>
      <c r="D5" s="45"/>
    </row>
    <row r="6" spans="1:4" x14ac:dyDescent="0.3">
      <c r="A6" s="45"/>
      <c r="B6" s="45"/>
      <c r="C6" s="45"/>
      <c r="D6" s="45"/>
    </row>
    <row r="7" spans="1:4" x14ac:dyDescent="0.3">
      <c r="A7" s="45"/>
      <c r="B7" s="45"/>
      <c r="C7" s="45"/>
      <c r="D7" s="45"/>
    </row>
    <row r="9" spans="1:4" ht="41.4" x14ac:dyDescent="0.3">
      <c r="A9" s="2" t="s">
        <v>3</v>
      </c>
      <c r="B9" s="3" t="s">
        <v>4</v>
      </c>
      <c r="C9" s="4" t="s">
        <v>5</v>
      </c>
      <c r="D9" s="5" t="s">
        <v>6</v>
      </c>
    </row>
    <row r="10" spans="1:4" ht="55.2" x14ac:dyDescent="0.3">
      <c r="A10" s="6" t="s">
        <v>7</v>
      </c>
      <c r="B10" s="7" t="s">
        <v>8</v>
      </c>
      <c r="C10" s="8" t="s">
        <v>9</v>
      </c>
      <c r="D10" s="9" t="s">
        <v>10</v>
      </c>
    </row>
    <row r="11" spans="1:4" ht="55.2" x14ac:dyDescent="0.3">
      <c r="A11" s="10" t="s">
        <v>11</v>
      </c>
      <c r="B11" s="11" t="s">
        <v>12</v>
      </c>
      <c r="C11" s="12" t="s">
        <v>13</v>
      </c>
      <c r="D11" s="13" t="s">
        <v>14</v>
      </c>
    </row>
    <row r="12" spans="1:4" ht="41.4" x14ac:dyDescent="0.3">
      <c r="A12" s="14" t="s">
        <v>15</v>
      </c>
      <c r="B12" s="15" t="s">
        <v>16</v>
      </c>
      <c r="C12" s="16" t="s">
        <v>17</v>
      </c>
      <c r="D12" s="17" t="s">
        <v>18</v>
      </c>
    </row>
    <row r="13" spans="1:4" ht="55.2" x14ac:dyDescent="0.3">
      <c r="A13" s="18" t="s">
        <v>19</v>
      </c>
      <c r="B13" s="19" t="s">
        <v>20</v>
      </c>
      <c r="C13" s="20" t="s">
        <v>21</v>
      </c>
      <c r="D13" s="21" t="s">
        <v>22</v>
      </c>
    </row>
    <row r="14" spans="1:4" ht="69" x14ac:dyDescent="0.3">
      <c r="A14" s="22" t="s">
        <v>23</v>
      </c>
      <c r="B14" s="23" t="s">
        <v>24</v>
      </c>
      <c r="C14" s="24" t="s">
        <v>25</v>
      </c>
      <c r="D14" s="25" t="s">
        <v>26</v>
      </c>
    </row>
    <row r="15" spans="1:4" x14ac:dyDescent="0.3">
      <c r="A15" s="26" t="s">
        <v>27</v>
      </c>
      <c r="B15" s="27" t="s">
        <v>28</v>
      </c>
      <c r="C15" s="28" t="s">
        <v>29</v>
      </c>
      <c r="D15" s="29" t="s">
        <v>29</v>
      </c>
    </row>
  </sheetData>
  <mergeCells count="1">
    <mergeCell ref="A5:D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83"/>
  <sheetViews>
    <sheetView topLeftCell="G1" workbookViewId="0">
      <pane ySplit="4" topLeftCell="A5" activePane="bottomLeft" state="frozen"/>
      <selection pane="bottomLeft" activeCell="J77" sqref="J77"/>
    </sheetView>
  </sheetViews>
  <sheetFormatPr defaultRowHeight="14.4" x14ac:dyDescent="0.3"/>
  <cols>
    <col min="1" max="1" width="24.21875" customWidth="1"/>
    <col min="2" max="2" width="14.33203125" customWidth="1"/>
    <col min="3" max="3" width="16.44140625" customWidth="1"/>
    <col min="4" max="4" width="13.21875" customWidth="1"/>
    <col min="5" max="5" width="20.88671875" customWidth="1"/>
    <col min="6" max="6" width="16.44140625" customWidth="1"/>
    <col min="7" max="7" width="15.44140625" customWidth="1"/>
    <col min="8" max="8" width="26.44140625" customWidth="1"/>
    <col min="9" max="9" width="13.21875" customWidth="1"/>
    <col min="10" max="10" width="17.5546875" customWidth="1"/>
    <col min="11" max="11" width="4.44140625" customWidth="1"/>
    <col min="12" max="12" width="20.88671875" customWidth="1"/>
    <col min="13" max="13" width="12.109375" customWidth="1"/>
  </cols>
  <sheetData>
    <row r="1" spans="1:14" x14ac:dyDescent="0.3">
      <c r="A1" s="30" t="s">
        <v>30</v>
      </c>
    </row>
    <row r="2" spans="1:14" x14ac:dyDescent="0.3">
      <c r="A2" s="32" t="s">
        <v>31</v>
      </c>
      <c r="B2" s="32"/>
      <c r="C2" s="32" t="s">
        <v>32</v>
      </c>
      <c r="D2" s="32"/>
      <c r="E2" s="32" t="s">
        <v>33</v>
      </c>
      <c r="F2" s="32"/>
      <c r="G2" s="32"/>
      <c r="H2" s="32"/>
      <c r="I2" s="32"/>
      <c r="J2" s="32"/>
      <c r="K2" s="32"/>
      <c r="L2" s="32" t="s">
        <v>34</v>
      </c>
      <c r="M2" s="32" t="s">
        <v>35</v>
      </c>
    </row>
    <row r="3" spans="1:14" x14ac:dyDescent="0.3">
      <c r="A3">
        <f>COUNTA(A5:A1048576)</f>
        <v>79</v>
      </c>
      <c r="C3">
        <f>COUNTA(C5:C1048576)</f>
        <v>79</v>
      </c>
      <c r="E3" s="31">
        <f>SUM(E5:E1048576)</f>
        <v>53703.640000000007</v>
      </c>
      <c r="L3" s="31">
        <f>SUM(L5:L1048576)</f>
        <v>51228.800000000017</v>
      </c>
      <c r="M3" s="31">
        <f>SUM(M5:M1048576)</f>
        <v>0</v>
      </c>
    </row>
    <row r="4" spans="1:14" x14ac:dyDescent="0.3">
      <c r="A4" s="33" t="s">
        <v>36</v>
      </c>
      <c r="B4" s="33" t="s">
        <v>37</v>
      </c>
      <c r="C4" s="33" t="s">
        <v>38</v>
      </c>
      <c r="D4" s="33" t="s">
        <v>39</v>
      </c>
      <c r="E4" s="33" t="s">
        <v>40</v>
      </c>
      <c r="F4" s="33" t="s">
        <v>41</v>
      </c>
      <c r="G4" s="33" t="s">
        <v>42</v>
      </c>
      <c r="H4" s="33" t="s">
        <v>43</v>
      </c>
      <c r="I4" s="33" t="s">
        <v>44</v>
      </c>
      <c r="J4" s="33" t="s">
        <v>45</v>
      </c>
      <c r="K4" s="33" t="s">
        <v>46</v>
      </c>
      <c r="L4" s="33" t="s">
        <v>47</v>
      </c>
      <c r="M4" s="33" t="s">
        <v>48</v>
      </c>
    </row>
    <row r="5" spans="1:14" x14ac:dyDescent="0.3">
      <c r="A5" t="s">
        <v>49</v>
      </c>
      <c r="B5" t="s">
        <v>50</v>
      </c>
      <c r="C5" t="s">
        <v>170</v>
      </c>
      <c r="D5" t="s">
        <v>52</v>
      </c>
      <c r="E5">
        <v>1385.43</v>
      </c>
      <c r="F5" t="s">
        <v>53</v>
      </c>
      <c r="G5" t="s">
        <v>54</v>
      </c>
      <c r="H5" t="s">
        <v>50</v>
      </c>
      <c r="I5" t="s">
        <v>55</v>
      </c>
      <c r="J5" t="s">
        <v>50</v>
      </c>
      <c r="K5">
        <v>0.03</v>
      </c>
      <c r="L5">
        <v>1345.08</v>
      </c>
      <c r="M5">
        <v>0</v>
      </c>
      <c r="N5">
        <f>K5*100</f>
        <v>3</v>
      </c>
    </row>
    <row r="6" spans="1:14" x14ac:dyDescent="0.3">
      <c r="A6" t="s">
        <v>56</v>
      </c>
      <c r="B6" t="s">
        <v>50</v>
      </c>
      <c r="C6" t="s">
        <v>145</v>
      </c>
      <c r="D6" t="s">
        <v>58</v>
      </c>
      <c r="E6">
        <v>515</v>
      </c>
      <c r="F6" t="s">
        <v>59</v>
      </c>
      <c r="G6" t="s">
        <v>54</v>
      </c>
      <c r="H6" t="s">
        <v>50</v>
      </c>
      <c r="I6" t="s">
        <v>55</v>
      </c>
      <c r="J6" t="s">
        <v>50</v>
      </c>
      <c r="K6">
        <v>0.03</v>
      </c>
      <c r="L6">
        <v>500</v>
      </c>
      <c r="M6">
        <v>0</v>
      </c>
      <c r="N6">
        <f t="shared" ref="N6:N69" si="0">K6*100</f>
        <v>3</v>
      </c>
    </row>
    <row r="7" spans="1:14" x14ac:dyDescent="0.3">
      <c r="A7" t="s">
        <v>60</v>
      </c>
      <c r="B7" t="s">
        <v>50</v>
      </c>
      <c r="C7" t="s">
        <v>91</v>
      </c>
      <c r="D7" t="s">
        <v>62</v>
      </c>
      <c r="E7">
        <v>538</v>
      </c>
      <c r="F7" t="s">
        <v>63</v>
      </c>
      <c r="G7" t="s">
        <v>54</v>
      </c>
      <c r="H7" t="s">
        <v>50</v>
      </c>
      <c r="I7" t="s">
        <v>55</v>
      </c>
      <c r="J7" t="s">
        <v>50</v>
      </c>
      <c r="K7">
        <v>0.03</v>
      </c>
      <c r="L7">
        <v>522.32999999999993</v>
      </c>
      <c r="M7">
        <v>0</v>
      </c>
      <c r="N7">
        <f t="shared" si="0"/>
        <v>3</v>
      </c>
    </row>
    <row r="8" spans="1:14" x14ac:dyDescent="0.3">
      <c r="A8" t="s">
        <v>56</v>
      </c>
      <c r="B8" t="s">
        <v>50</v>
      </c>
      <c r="C8" t="s">
        <v>156</v>
      </c>
      <c r="D8" t="s">
        <v>65</v>
      </c>
      <c r="E8">
        <v>246</v>
      </c>
      <c r="F8" t="s">
        <v>59</v>
      </c>
      <c r="G8" t="s">
        <v>54</v>
      </c>
      <c r="H8" t="s">
        <v>50</v>
      </c>
      <c r="I8" t="s">
        <v>55</v>
      </c>
      <c r="J8" t="s">
        <v>50</v>
      </c>
      <c r="K8">
        <v>0.03</v>
      </c>
      <c r="L8">
        <v>238.83</v>
      </c>
      <c r="M8">
        <v>0</v>
      </c>
      <c r="N8">
        <f t="shared" si="0"/>
        <v>3</v>
      </c>
    </row>
    <row r="9" spans="1:14" x14ac:dyDescent="0.3">
      <c r="A9" t="s">
        <v>49</v>
      </c>
      <c r="B9" t="s">
        <v>50</v>
      </c>
      <c r="C9" t="s">
        <v>159</v>
      </c>
      <c r="D9" t="s">
        <v>65</v>
      </c>
      <c r="E9">
        <v>9111.5300000000007</v>
      </c>
      <c r="F9" t="s">
        <v>53</v>
      </c>
      <c r="G9" t="s">
        <v>54</v>
      </c>
      <c r="H9" t="s">
        <v>50</v>
      </c>
      <c r="I9" t="s">
        <v>55</v>
      </c>
      <c r="J9" t="s">
        <v>50</v>
      </c>
      <c r="K9">
        <v>0.03</v>
      </c>
      <c r="L9">
        <v>8846.15</v>
      </c>
      <c r="M9">
        <v>0</v>
      </c>
      <c r="N9">
        <f t="shared" si="0"/>
        <v>3</v>
      </c>
    </row>
    <row r="10" spans="1:14" x14ac:dyDescent="0.3">
      <c r="A10" t="s">
        <v>56</v>
      </c>
      <c r="B10" t="s">
        <v>50</v>
      </c>
      <c r="C10" t="s">
        <v>167</v>
      </c>
      <c r="D10" t="s">
        <v>68</v>
      </c>
      <c r="E10">
        <v>246</v>
      </c>
      <c r="F10" t="s">
        <v>59</v>
      </c>
      <c r="G10" t="s">
        <v>54</v>
      </c>
      <c r="H10" t="s">
        <v>50</v>
      </c>
      <c r="I10" t="s">
        <v>55</v>
      </c>
      <c r="J10" t="s">
        <v>50</v>
      </c>
      <c r="K10">
        <v>0.03</v>
      </c>
      <c r="L10">
        <v>238.83</v>
      </c>
      <c r="M10">
        <v>0</v>
      </c>
      <c r="N10">
        <f t="shared" si="0"/>
        <v>3</v>
      </c>
    </row>
    <row r="11" spans="1:14" x14ac:dyDescent="0.3">
      <c r="A11" t="s">
        <v>56</v>
      </c>
      <c r="B11" t="s">
        <v>50</v>
      </c>
      <c r="C11" t="s">
        <v>69</v>
      </c>
      <c r="D11" t="s">
        <v>70</v>
      </c>
      <c r="E11">
        <v>299</v>
      </c>
      <c r="F11" t="s">
        <v>59</v>
      </c>
      <c r="G11" t="s">
        <v>54</v>
      </c>
      <c r="H11" t="s">
        <v>50</v>
      </c>
      <c r="I11" t="s">
        <v>55</v>
      </c>
      <c r="J11" t="s">
        <v>50</v>
      </c>
      <c r="K11">
        <v>0.03</v>
      </c>
      <c r="L11">
        <v>290.29000000000002</v>
      </c>
      <c r="M11">
        <v>0</v>
      </c>
      <c r="N11">
        <f t="shared" si="0"/>
        <v>3</v>
      </c>
    </row>
    <row r="12" spans="1:14" x14ac:dyDescent="0.3">
      <c r="A12" t="s">
        <v>56</v>
      </c>
      <c r="B12" t="s">
        <v>50</v>
      </c>
      <c r="C12" t="s">
        <v>161</v>
      </c>
      <c r="D12" t="s">
        <v>72</v>
      </c>
      <c r="E12">
        <v>299</v>
      </c>
      <c r="F12" t="s">
        <v>59</v>
      </c>
      <c r="G12" t="s">
        <v>54</v>
      </c>
      <c r="H12" t="s">
        <v>50</v>
      </c>
      <c r="I12" t="s">
        <v>55</v>
      </c>
      <c r="J12" t="s">
        <v>50</v>
      </c>
      <c r="K12">
        <v>0.03</v>
      </c>
      <c r="L12">
        <v>290.29000000000002</v>
      </c>
      <c r="M12">
        <v>0</v>
      </c>
      <c r="N12">
        <f t="shared" si="0"/>
        <v>3</v>
      </c>
    </row>
    <row r="13" spans="1:14" x14ac:dyDescent="0.3">
      <c r="A13" t="s">
        <v>56</v>
      </c>
      <c r="B13" t="s">
        <v>50</v>
      </c>
      <c r="C13" t="s">
        <v>166</v>
      </c>
      <c r="D13" t="s">
        <v>74</v>
      </c>
      <c r="E13">
        <v>246</v>
      </c>
      <c r="F13" t="s">
        <v>59</v>
      </c>
      <c r="G13" t="s">
        <v>54</v>
      </c>
      <c r="H13" t="s">
        <v>50</v>
      </c>
      <c r="I13" t="s">
        <v>55</v>
      </c>
      <c r="J13" t="s">
        <v>50</v>
      </c>
      <c r="K13">
        <v>0.03</v>
      </c>
      <c r="L13">
        <v>238.83</v>
      </c>
      <c r="M13">
        <v>0</v>
      </c>
      <c r="N13">
        <f t="shared" si="0"/>
        <v>3</v>
      </c>
    </row>
    <row r="14" spans="1:14" x14ac:dyDescent="0.3">
      <c r="A14" t="s">
        <v>56</v>
      </c>
      <c r="B14" t="s">
        <v>50</v>
      </c>
      <c r="C14" t="s">
        <v>83</v>
      </c>
      <c r="D14" t="s">
        <v>76</v>
      </c>
      <c r="E14">
        <v>207</v>
      </c>
      <c r="F14" t="s">
        <v>59</v>
      </c>
      <c r="G14" t="s">
        <v>54</v>
      </c>
      <c r="H14" t="s">
        <v>50</v>
      </c>
      <c r="I14" t="s">
        <v>55</v>
      </c>
      <c r="J14" t="s">
        <v>50</v>
      </c>
      <c r="K14">
        <v>0.03</v>
      </c>
      <c r="L14">
        <v>200.97</v>
      </c>
      <c r="M14">
        <v>0</v>
      </c>
      <c r="N14">
        <f t="shared" si="0"/>
        <v>3</v>
      </c>
    </row>
    <row r="15" spans="1:14" x14ac:dyDescent="0.3">
      <c r="A15" t="s">
        <v>56</v>
      </c>
      <c r="C15" t="s">
        <v>132</v>
      </c>
      <c r="D15" t="s">
        <v>76</v>
      </c>
      <c r="E15">
        <v>281.39999999999998</v>
      </c>
      <c r="F15" t="s">
        <v>59</v>
      </c>
      <c r="G15" t="s">
        <v>54</v>
      </c>
      <c r="H15" t="s">
        <v>50</v>
      </c>
      <c r="I15" t="s">
        <v>55</v>
      </c>
      <c r="J15" t="s">
        <v>50</v>
      </c>
      <c r="K15">
        <v>0.03</v>
      </c>
      <c r="L15">
        <v>273.2</v>
      </c>
      <c r="M15">
        <v>0</v>
      </c>
      <c r="N15">
        <f t="shared" si="0"/>
        <v>3</v>
      </c>
    </row>
    <row r="16" spans="1:14" x14ac:dyDescent="0.3">
      <c r="A16" t="s">
        <v>60</v>
      </c>
      <c r="B16" t="s">
        <v>50</v>
      </c>
      <c r="C16" t="s">
        <v>71</v>
      </c>
      <c r="D16" t="s">
        <v>79</v>
      </c>
      <c r="E16">
        <v>816</v>
      </c>
      <c r="F16" t="s">
        <v>63</v>
      </c>
      <c r="G16" t="s">
        <v>54</v>
      </c>
      <c r="H16" t="s">
        <v>50</v>
      </c>
      <c r="I16" t="s">
        <v>55</v>
      </c>
      <c r="J16" t="s">
        <v>50</v>
      </c>
      <c r="K16">
        <v>0.03</v>
      </c>
      <c r="L16">
        <v>792.23</v>
      </c>
      <c r="M16">
        <v>0</v>
      </c>
      <c r="N16">
        <f t="shared" si="0"/>
        <v>3</v>
      </c>
    </row>
    <row r="17" spans="1:14" x14ac:dyDescent="0.3">
      <c r="A17" t="s">
        <v>49</v>
      </c>
      <c r="B17" t="s">
        <v>50</v>
      </c>
      <c r="C17" t="s">
        <v>157</v>
      </c>
      <c r="D17" t="s">
        <v>81</v>
      </c>
      <c r="E17">
        <v>294.33</v>
      </c>
      <c r="F17" t="s">
        <v>53</v>
      </c>
      <c r="G17" t="s">
        <v>54</v>
      </c>
      <c r="H17" t="s">
        <v>50</v>
      </c>
      <c r="I17" t="s">
        <v>55</v>
      </c>
      <c r="J17" t="s">
        <v>50</v>
      </c>
      <c r="K17">
        <v>0.12</v>
      </c>
      <c r="L17">
        <v>262.79000000000002</v>
      </c>
      <c r="M17">
        <v>0</v>
      </c>
      <c r="N17">
        <f t="shared" si="0"/>
        <v>12</v>
      </c>
    </row>
    <row r="18" spans="1:14" x14ac:dyDescent="0.3">
      <c r="A18" t="s">
        <v>56</v>
      </c>
      <c r="B18" t="s">
        <v>50</v>
      </c>
      <c r="C18" t="s">
        <v>169</v>
      </c>
      <c r="D18" t="s">
        <v>74</v>
      </c>
      <c r="E18">
        <v>222</v>
      </c>
      <c r="F18" t="s">
        <v>59</v>
      </c>
      <c r="G18" t="s">
        <v>54</v>
      </c>
      <c r="H18" t="s">
        <v>50</v>
      </c>
      <c r="I18" t="s">
        <v>55</v>
      </c>
      <c r="J18" t="s">
        <v>50</v>
      </c>
      <c r="K18">
        <v>0.12</v>
      </c>
      <c r="L18">
        <v>198.21</v>
      </c>
      <c r="M18">
        <v>0</v>
      </c>
      <c r="N18">
        <f t="shared" si="0"/>
        <v>12</v>
      </c>
    </row>
    <row r="19" spans="1:14" x14ac:dyDescent="0.3">
      <c r="A19" t="s">
        <v>56</v>
      </c>
      <c r="B19" t="s">
        <v>50</v>
      </c>
      <c r="C19" t="s">
        <v>133</v>
      </c>
      <c r="D19" t="s">
        <v>72</v>
      </c>
      <c r="E19">
        <v>243</v>
      </c>
      <c r="F19" t="s">
        <v>59</v>
      </c>
      <c r="G19" t="s">
        <v>54</v>
      </c>
      <c r="H19" t="s">
        <v>50</v>
      </c>
      <c r="I19" t="s">
        <v>55</v>
      </c>
      <c r="J19" t="s">
        <v>50</v>
      </c>
      <c r="K19">
        <v>0.03</v>
      </c>
      <c r="L19">
        <v>235.92</v>
      </c>
      <c r="M19">
        <v>0</v>
      </c>
      <c r="N19">
        <f t="shared" si="0"/>
        <v>3</v>
      </c>
    </row>
    <row r="20" spans="1:14" x14ac:dyDescent="0.3">
      <c r="A20" t="s">
        <v>84</v>
      </c>
      <c r="B20" t="s">
        <v>50</v>
      </c>
      <c r="C20" t="s">
        <v>129</v>
      </c>
      <c r="D20" t="s">
        <v>65</v>
      </c>
      <c r="E20">
        <v>329</v>
      </c>
      <c r="F20" t="s">
        <v>86</v>
      </c>
      <c r="G20" t="s">
        <v>54</v>
      </c>
      <c r="H20" t="s">
        <v>50</v>
      </c>
      <c r="I20" t="s">
        <v>55</v>
      </c>
      <c r="J20" t="s">
        <v>87</v>
      </c>
      <c r="K20">
        <v>0.03</v>
      </c>
      <c r="L20">
        <v>319.42</v>
      </c>
      <c r="M20">
        <v>0</v>
      </c>
      <c r="N20">
        <f t="shared" si="0"/>
        <v>3</v>
      </c>
    </row>
    <row r="21" spans="1:14" x14ac:dyDescent="0.3">
      <c r="A21" t="s">
        <v>88</v>
      </c>
      <c r="B21" t="s">
        <v>50</v>
      </c>
      <c r="C21" t="s">
        <v>94</v>
      </c>
      <c r="D21" t="s">
        <v>90</v>
      </c>
      <c r="E21">
        <v>340.1</v>
      </c>
      <c r="F21" t="s">
        <v>63</v>
      </c>
      <c r="G21" t="s">
        <v>54</v>
      </c>
      <c r="H21" t="s">
        <v>50</v>
      </c>
      <c r="I21" t="s">
        <v>55</v>
      </c>
      <c r="J21" t="s">
        <v>87</v>
      </c>
      <c r="K21">
        <v>0.03</v>
      </c>
      <c r="L21">
        <v>330.19</v>
      </c>
      <c r="M21">
        <v>0</v>
      </c>
      <c r="N21">
        <f t="shared" si="0"/>
        <v>3</v>
      </c>
    </row>
    <row r="22" spans="1:14" x14ac:dyDescent="0.3">
      <c r="A22" t="s">
        <v>56</v>
      </c>
      <c r="B22" t="s">
        <v>50</v>
      </c>
      <c r="C22" t="s">
        <v>66</v>
      </c>
      <c r="D22" t="s">
        <v>92</v>
      </c>
      <c r="E22">
        <v>222</v>
      </c>
      <c r="F22" t="s">
        <v>59</v>
      </c>
      <c r="G22" t="s">
        <v>54</v>
      </c>
      <c r="H22" t="s">
        <v>50</v>
      </c>
      <c r="I22" t="s">
        <v>55</v>
      </c>
      <c r="J22" t="s">
        <v>50</v>
      </c>
      <c r="K22">
        <v>0.12</v>
      </c>
      <c r="L22">
        <v>198.21</v>
      </c>
      <c r="M22">
        <v>0</v>
      </c>
      <c r="N22">
        <f t="shared" si="0"/>
        <v>12</v>
      </c>
    </row>
    <row r="23" spans="1:14" x14ac:dyDescent="0.3">
      <c r="A23" t="s">
        <v>56</v>
      </c>
      <c r="B23" t="s">
        <v>50</v>
      </c>
      <c r="C23" t="s">
        <v>64</v>
      </c>
      <c r="D23" t="s">
        <v>58</v>
      </c>
      <c r="E23">
        <v>299</v>
      </c>
      <c r="F23" t="s">
        <v>59</v>
      </c>
      <c r="G23" t="s">
        <v>54</v>
      </c>
      <c r="H23" t="s">
        <v>50</v>
      </c>
      <c r="I23" t="s">
        <v>55</v>
      </c>
      <c r="J23" t="s">
        <v>50</v>
      </c>
      <c r="K23">
        <v>0.03</v>
      </c>
      <c r="L23">
        <v>290.29000000000002</v>
      </c>
      <c r="M23">
        <v>0</v>
      </c>
      <c r="N23">
        <f t="shared" si="0"/>
        <v>3</v>
      </c>
    </row>
    <row r="24" spans="1:14" x14ac:dyDescent="0.3">
      <c r="A24" t="s">
        <v>56</v>
      </c>
      <c r="B24" t="s">
        <v>50</v>
      </c>
      <c r="C24" t="s">
        <v>77</v>
      </c>
      <c r="D24" t="s">
        <v>65</v>
      </c>
      <c r="E24">
        <v>250</v>
      </c>
      <c r="F24" t="s">
        <v>59</v>
      </c>
      <c r="G24" t="s">
        <v>54</v>
      </c>
      <c r="H24" t="s">
        <v>50</v>
      </c>
      <c r="I24" t="s">
        <v>55</v>
      </c>
      <c r="J24" t="s">
        <v>50</v>
      </c>
      <c r="K24">
        <v>0.03</v>
      </c>
      <c r="L24">
        <v>242.72</v>
      </c>
      <c r="M24">
        <v>0</v>
      </c>
      <c r="N24">
        <f t="shared" si="0"/>
        <v>3</v>
      </c>
    </row>
    <row r="25" spans="1:14" x14ac:dyDescent="0.3">
      <c r="A25" t="s">
        <v>56</v>
      </c>
      <c r="B25" t="s">
        <v>50</v>
      </c>
      <c r="C25" t="s">
        <v>75</v>
      </c>
      <c r="D25" t="s">
        <v>96</v>
      </c>
      <c r="E25">
        <v>245</v>
      </c>
      <c r="F25" t="s">
        <v>59</v>
      </c>
      <c r="G25" t="s">
        <v>54</v>
      </c>
      <c r="H25" t="s">
        <v>50</v>
      </c>
      <c r="I25" t="s">
        <v>55</v>
      </c>
      <c r="J25" t="s">
        <v>50</v>
      </c>
      <c r="K25">
        <v>0.03</v>
      </c>
      <c r="L25">
        <v>237.86</v>
      </c>
      <c r="M25">
        <v>0</v>
      </c>
      <c r="N25">
        <f t="shared" si="0"/>
        <v>3</v>
      </c>
    </row>
    <row r="26" spans="1:14" x14ac:dyDescent="0.3">
      <c r="A26" t="s">
        <v>56</v>
      </c>
      <c r="B26" t="s">
        <v>50</v>
      </c>
      <c r="C26" t="s">
        <v>147</v>
      </c>
      <c r="D26" t="s">
        <v>98</v>
      </c>
      <c r="E26">
        <v>237</v>
      </c>
      <c r="F26" t="s">
        <v>59</v>
      </c>
      <c r="G26" t="s">
        <v>54</v>
      </c>
      <c r="H26" t="s">
        <v>50</v>
      </c>
      <c r="I26" t="s">
        <v>55</v>
      </c>
      <c r="J26" t="s">
        <v>50</v>
      </c>
      <c r="K26">
        <v>0.03</v>
      </c>
      <c r="L26">
        <v>230.1</v>
      </c>
      <c r="M26">
        <v>0</v>
      </c>
      <c r="N26">
        <f t="shared" si="0"/>
        <v>3</v>
      </c>
    </row>
    <row r="27" spans="1:14" x14ac:dyDescent="0.3">
      <c r="A27" t="s">
        <v>99</v>
      </c>
      <c r="B27" t="s">
        <v>50</v>
      </c>
      <c r="C27" t="s">
        <v>168</v>
      </c>
      <c r="D27" t="s">
        <v>101</v>
      </c>
      <c r="E27">
        <v>379</v>
      </c>
      <c r="F27" t="s">
        <v>86</v>
      </c>
      <c r="G27" t="s">
        <v>54</v>
      </c>
      <c r="H27" t="s">
        <v>50</v>
      </c>
      <c r="I27" t="s">
        <v>55</v>
      </c>
      <c r="J27" t="s">
        <v>87</v>
      </c>
      <c r="K27">
        <v>0.03</v>
      </c>
      <c r="L27">
        <v>367.96</v>
      </c>
      <c r="M27">
        <v>0</v>
      </c>
      <c r="N27">
        <f t="shared" si="0"/>
        <v>3</v>
      </c>
    </row>
    <row r="28" spans="1:14" x14ac:dyDescent="0.3">
      <c r="A28" t="s">
        <v>102</v>
      </c>
      <c r="B28" t="s">
        <v>50</v>
      </c>
      <c r="C28" t="s">
        <v>125</v>
      </c>
      <c r="D28" t="s">
        <v>104</v>
      </c>
      <c r="E28">
        <v>299</v>
      </c>
      <c r="F28" t="s">
        <v>105</v>
      </c>
      <c r="G28" t="s">
        <v>54</v>
      </c>
      <c r="H28" t="s">
        <v>50</v>
      </c>
      <c r="I28" t="s">
        <v>55</v>
      </c>
      <c r="J28" t="s">
        <v>87</v>
      </c>
      <c r="K28">
        <v>0.03</v>
      </c>
      <c r="L28">
        <v>290.3</v>
      </c>
      <c r="M28">
        <v>0</v>
      </c>
      <c r="N28">
        <f t="shared" si="0"/>
        <v>3</v>
      </c>
    </row>
    <row r="29" spans="1:14" x14ac:dyDescent="0.3">
      <c r="A29" t="s">
        <v>60</v>
      </c>
      <c r="B29" t="s">
        <v>50</v>
      </c>
      <c r="C29" t="s">
        <v>137</v>
      </c>
      <c r="D29" t="s">
        <v>101</v>
      </c>
      <c r="E29">
        <v>798</v>
      </c>
      <c r="F29" t="s">
        <v>63</v>
      </c>
      <c r="G29" t="s">
        <v>54</v>
      </c>
      <c r="H29" t="s">
        <v>50</v>
      </c>
      <c r="I29" t="s">
        <v>55</v>
      </c>
      <c r="J29" t="s">
        <v>50</v>
      </c>
      <c r="K29">
        <v>0.03</v>
      </c>
      <c r="L29">
        <v>774.76</v>
      </c>
      <c r="M29">
        <v>0</v>
      </c>
      <c r="N29">
        <f t="shared" si="0"/>
        <v>3</v>
      </c>
    </row>
    <row r="30" spans="1:14" x14ac:dyDescent="0.3">
      <c r="A30" t="s">
        <v>56</v>
      </c>
      <c r="B30" t="s">
        <v>50</v>
      </c>
      <c r="C30" t="s">
        <v>148</v>
      </c>
      <c r="D30" t="s">
        <v>96</v>
      </c>
      <c r="E30">
        <v>278</v>
      </c>
      <c r="F30" t="s">
        <v>59</v>
      </c>
      <c r="G30" t="s">
        <v>54</v>
      </c>
      <c r="H30" t="s">
        <v>50</v>
      </c>
      <c r="I30" t="s">
        <v>55</v>
      </c>
      <c r="J30" t="s">
        <v>50</v>
      </c>
      <c r="K30">
        <v>0.03</v>
      </c>
      <c r="L30">
        <v>269.89999999999998</v>
      </c>
      <c r="M30">
        <v>0</v>
      </c>
      <c r="N30">
        <f t="shared" si="0"/>
        <v>3</v>
      </c>
    </row>
    <row r="31" spans="1:14" x14ac:dyDescent="0.3">
      <c r="A31" t="s">
        <v>108</v>
      </c>
      <c r="B31" t="s">
        <v>50</v>
      </c>
      <c r="C31" t="s">
        <v>163</v>
      </c>
      <c r="D31" t="s">
        <v>90</v>
      </c>
      <c r="E31">
        <v>80</v>
      </c>
      <c r="F31" t="s">
        <v>110</v>
      </c>
      <c r="G31" t="s">
        <v>54</v>
      </c>
      <c r="H31" t="s">
        <v>50</v>
      </c>
      <c r="I31" t="s">
        <v>55</v>
      </c>
      <c r="J31" t="s">
        <v>50</v>
      </c>
      <c r="K31">
        <v>0.03</v>
      </c>
      <c r="L31">
        <v>77.67</v>
      </c>
      <c r="M31">
        <v>0</v>
      </c>
      <c r="N31">
        <f t="shared" si="0"/>
        <v>3</v>
      </c>
    </row>
    <row r="32" spans="1:14" x14ac:dyDescent="0.3">
      <c r="A32" t="s">
        <v>56</v>
      </c>
      <c r="B32" t="s">
        <v>50</v>
      </c>
      <c r="C32" t="s">
        <v>139</v>
      </c>
      <c r="D32" t="s">
        <v>74</v>
      </c>
      <c r="E32">
        <v>917</v>
      </c>
      <c r="F32" t="s">
        <v>59</v>
      </c>
      <c r="G32" t="s">
        <v>54</v>
      </c>
      <c r="H32" t="s">
        <v>50</v>
      </c>
      <c r="I32" t="s">
        <v>55</v>
      </c>
      <c r="J32" t="s">
        <v>50</v>
      </c>
      <c r="K32">
        <v>0.03</v>
      </c>
      <c r="L32">
        <v>890.29</v>
      </c>
      <c r="M32">
        <v>0</v>
      </c>
      <c r="N32">
        <f t="shared" si="0"/>
        <v>3</v>
      </c>
    </row>
    <row r="33" spans="1:14" x14ac:dyDescent="0.3">
      <c r="A33" t="s">
        <v>56</v>
      </c>
      <c r="B33" t="s">
        <v>50</v>
      </c>
      <c r="C33" t="s">
        <v>112</v>
      </c>
      <c r="D33" t="s">
        <v>113</v>
      </c>
      <c r="E33">
        <v>499</v>
      </c>
      <c r="F33" t="s">
        <v>59</v>
      </c>
      <c r="G33" t="s">
        <v>54</v>
      </c>
      <c r="H33" t="s">
        <v>50</v>
      </c>
      <c r="I33" t="s">
        <v>55</v>
      </c>
      <c r="J33" t="s">
        <v>50</v>
      </c>
      <c r="K33">
        <v>0.03</v>
      </c>
      <c r="L33">
        <v>484.47</v>
      </c>
      <c r="M33">
        <v>0</v>
      </c>
      <c r="N33">
        <f t="shared" si="0"/>
        <v>3</v>
      </c>
    </row>
    <row r="34" spans="1:14" x14ac:dyDescent="0.3">
      <c r="A34" t="s">
        <v>56</v>
      </c>
      <c r="B34" t="s">
        <v>50</v>
      </c>
      <c r="C34" t="s">
        <v>119</v>
      </c>
      <c r="D34" t="s">
        <v>115</v>
      </c>
      <c r="E34">
        <v>515</v>
      </c>
      <c r="F34" t="s">
        <v>59</v>
      </c>
      <c r="G34" t="s">
        <v>54</v>
      </c>
      <c r="H34" t="s">
        <v>50</v>
      </c>
      <c r="I34" t="s">
        <v>55</v>
      </c>
      <c r="J34" t="s">
        <v>50</v>
      </c>
      <c r="K34">
        <v>0.03</v>
      </c>
      <c r="L34">
        <v>500</v>
      </c>
      <c r="M34">
        <v>0</v>
      </c>
      <c r="N34">
        <f t="shared" si="0"/>
        <v>3</v>
      </c>
    </row>
    <row r="35" spans="1:14" x14ac:dyDescent="0.3">
      <c r="A35" t="s">
        <v>56</v>
      </c>
      <c r="B35" t="s">
        <v>50</v>
      </c>
      <c r="C35" t="s">
        <v>67</v>
      </c>
      <c r="D35" t="s">
        <v>117</v>
      </c>
      <c r="E35">
        <v>207</v>
      </c>
      <c r="F35" t="s">
        <v>59</v>
      </c>
      <c r="G35" t="s">
        <v>54</v>
      </c>
      <c r="H35" t="s">
        <v>50</v>
      </c>
      <c r="I35" t="s">
        <v>55</v>
      </c>
      <c r="J35" t="s">
        <v>50</v>
      </c>
      <c r="K35">
        <v>0.03</v>
      </c>
      <c r="L35">
        <v>200.97</v>
      </c>
      <c r="M35">
        <v>0</v>
      </c>
      <c r="N35">
        <f t="shared" si="0"/>
        <v>3</v>
      </c>
    </row>
    <row r="36" spans="1:14" x14ac:dyDescent="0.3">
      <c r="A36" t="s">
        <v>108</v>
      </c>
      <c r="B36" t="s">
        <v>50</v>
      </c>
      <c r="C36" t="s">
        <v>144</v>
      </c>
      <c r="D36" t="s">
        <v>113</v>
      </c>
      <c r="E36">
        <v>538</v>
      </c>
      <c r="F36" t="s">
        <v>110</v>
      </c>
      <c r="G36" t="s">
        <v>54</v>
      </c>
      <c r="H36" t="s">
        <v>50</v>
      </c>
      <c r="I36" t="s">
        <v>55</v>
      </c>
      <c r="J36" t="s">
        <v>50</v>
      </c>
      <c r="K36">
        <v>0.03</v>
      </c>
      <c r="L36">
        <v>522.32999999999993</v>
      </c>
      <c r="M36">
        <v>0</v>
      </c>
      <c r="N36">
        <f t="shared" si="0"/>
        <v>3</v>
      </c>
    </row>
    <row r="37" spans="1:14" x14ac:dyDescent="0.3">
      <c r="A37" t="s">
        <v>56</v>
      </c>
      <c r="B37" t="s">
        <v>50</v>
      </c>
      <c r="C37" t="s">
        <v>97</v>
      </c>
      <c r="D37" t="s">
        <v>113</v>
      </c>
      <c r="E37">
        <v>281.39999999999998</v>
      </c>
      <c r="F37" t="s">
        <v>59</v>
      </c>
      <c r="G37" t="s">
        <v>54</v>
      </c>
      <c r="H37" t="s">
        <v>50</v>
      </c>
      <c r="I37" t="s">
        <v>55</v>
      </c>
      <c r="J37" t="s">
        <v>50</v>
      </c>
      <c r="K37">
        <v>0.03</v>
      </c>
      <c r="L37">
        <v>273.2</v>
      </c>
      <c r="M37">
        <v>0</v>
      </c>
      <c r="N37">
        <f t="shared" si="0"/>
        <v>3</v>
      </c>
    </row>
    <row r="38" spans="1:14" x14ac:dyDescent="0.3">
      <c r="A38" t="s">
        <v>56</v>
      </c>
      <c r="B38" t="s">
        <v>50</v>
      </c>
      <c r="C38" t="s">
        <v>160</v>
      </c>
      <c r="D38" t="s">
        <v>121</v>
      </c>
      <c r="E38">
        <v>319.81</v>
      </c>
      <c r="F38" t="s">
        <v>59</v>
      </c>
      <c r="G38" t="s">
        <v>54</v>
      </c>
      <c r="H38" t="s">
        <v>50</v>
      </c>
      <c r="I38" t="s">
        <v>55</v>
      </c>
      <c r="J38" t="s">
        <v>50</v>
      </c>
      <c r="K38">
        <v>0.03</v>
      </c>
      <c r="L38">
        <v>310.5</v>
      </c>
      <c r="M38">
        <v>0</v>
      </c>
      <c r="N38">
        <f t="shared" si="0"/>
        <v>3</v>
      </c>
    </row>
    <row r="39" spans="1:14" x14ac:dyDescent="0.3">
      <c r="A39" t="s">
        <v>56</v>
      </c>
      <c r="B39" t="s">
        <v>50</v>
      </c>
      <c r="C39" t="s">
        <v>126</v>
      </c>
      <c r="D39" t="s">
        <v>104</v>
      </c>
      <c r="E39">
        <v>1145</v>
      </c>
      <c r="F39" t="s">
        <v>59</v>
      </c>
      <c r="G39" t="s">
        <v>54</v>
      </c>
      <c r="H39" t="s">
        <v>50</v>
      </c>
      <c r="I39" t="s">
        <v>55</v>
      </c>
      <c r="J39" t="s">
        <v>50</v>
      </c>
      <c r="K39">
        <v>0.03</v>
      </c>
      <c r="L39">
        <v>1111.6500000000001</v>
      </c>
      <c r="M39">
        <v>0</v>
      </c>
      <c r="N39">
        <f t="shared" si="0"/>
        <v>3</v>
      </c>
    </row>
    <row r="40" spans="1:14" x14ac:dyDescent="0.3">
      <c r="A40" t="s">
        <v>108</v>
      </c>
      <c r="B40" t="s">
        <v>50</v>
      </c>
      <c r="C40" t="s">
        <v>120</v>
      </c>
      <c r="D40" t="s">
        <v>124</v>
      </c>
      <c r="E40">
        <v>538</v>
      </c>
      <c r="F40" t="s">
        <v>110</v>
      </c>
      <c r="G40" t="s">
        <v>54</v>
      </c>
      <c r="H40" t="s">
        <v>50</v>
      </c>
      <c r="I40" t="s">
        <v>55</v>
      </c>
      <c r="J40" t="s">
        <v>50</v>
      </c>
      <c r="K40">
        <v>0.03</v>
      </c>
      <c r="L40">
        <v>522.32999999999993</v>
      </c>
      <c r="M40">
        <v>0</v>
      </c>
      <c r="N40">
        <f t="shared" si="0"/>
        <v>3</v>
      </c>
    </row>
    <row r="41" spans="1:14" x14ac:dyDescent="0.3">
      <c r="A41" t="s">
        <v>56</v>
      </c>
      <c r="B41" t="s">
        <v>50</v>
      </c>
      <c r="C41" t="s">
        <v>130</v>
      </c>
      <c r="D41" t="s">
        <v>79</v>
      </c>
      <c r="E41">
        <v>207</v>
      </c>
      <c r="F41" t="s">
        <v>59</v>
      </c>
      <c r="G41" t="s">
        <v>54</v>
      </c>
      <c r="H41" t="s">
        <v>50</v>
      </c>
      <c r="I41" t="s">
        <v>55</v>
      </c>
      <c r="J41" t="s">
        <v>50</v>
      </c>
      <c r="K41">
        <v>0.03</v>
      </c>
      <c r="L41">
        <v>200.97</v>
      </c>
      <c r="M41">
        <v>0</v>
      </c>
      <c r="N41">
        <f t="shared" si="0"/>
        <v>3</v>
      </c>
    </row>
    <row r="42" spans="1:14" x14ac:dyDescent="0.3">
      <c r="A42" t="s">
        <v>49</v>
      </c>
      <c r="B42" t="s">
        <v>50</v>
      </c>
      <c r="C42" t="s">
        <v>165</v>
      </c>
      <c r="D42" t="s">
        <v>81</v>
      </c>
      <c r="E42">
        <v>2757.32</v>
      </c>
      <c r="F42" t="s">
        <v>53</v>
      </c>
      <c r="G42" t="s">
        <v>54</v>
      </c>
      <c r="H42" t="s">
        <v>50</v>
      </c>
      <c r="I42" t="s">
        <v>55</v>
      </c>
      <c r="J42" t="s">
        <v>50</v>
      </c>
      <c r="K42">
        <v>0.03</v>
      </c>
      <c r="L42">
        <v>2677</v>
      </c>
      <c r="M42">
        <v>0</v>
      </c>
      <c r="N42">
        <f t="shared" si="0"/>
        <v>3</v>
      </c>
    </row>
    <row r="43" spans="1:14" x14ac:dyDescent="0.3">
      <c r="A43" t="s">
        <v>56</v>
      </c>
      <c r="B43" t="s">
        <v>50</v>
      </c>
      <c r="C43" t="s">
        <v>95</v>
      </c>
      <c r="D43" t="s">
        <v>127</v>
      </c>
      <c r="E43">
        <v>167</v>
      </c>
      <c r="F43" t="s">
        <v>59</v>
      </c>
      <c r="G43" t="s">
        <v>54</v>
      </c>
      <c r="H43" t="s">
        <v>50</v>
      </c>
      <c r="I43" t="s">
        <v>55</v>
      </c>
      <c r="J43" t="s">
        <v>50</v>
      </c>
      <c r="K43">
        <v>0.03</v>
      </c>
      <c r="L43">
        <v>162.13999999999999</v>
      </c>
      <c r="M43">
        <v>0</v>
      </c>
      <c r="N43">
        <f t="shared" si="0"/>
        <v>3</v>
      </c>
    </row>
    <row r="44" spans="1:14" x14ac:dyDescent="0.3">
      <c r="A44" t="s">
        <v>108</v>
      </c>
      <c r="B44" t="s">
        <v>50</v>
      </c>
      <c r="C44" t="s">
        <v>114</v>
      </c>
      <c r="D44" t="s">
        <v>115</v>
      </c>
      <c r="E44">
        <v>798</v>
      </c>
      <c r="F44" t="s">
        <v>110</v>
      </c>
      <c r="G44" t="s">
        <v>54</v>
      </c>
      <c r="H44" t="s">
        <v>50</v>
      </c>
      <c r="I44" t="s">
        <v>55</v>
      </c>
      <c r="J44" t="s">
        <v>50</v>
      </c>
      <c r="K44">
        <v>0.03</v>
      </c>
      <c r="L44">
        <v>774.76</v>
      </c>
      <c r="M44">
        <v>0</v>
      </c>
      <c r="N44">
        <f t="shared" si="0"/>
        <v>3</v>
      </c>
    </row>
    <row r="45" spans="1:14" x14ac:dyDescent="0.3">
      <c r="A45" t="s">
        <v>56</v>
      </c>
      <c r="B45" t="s">
        <v>50</v>
      </c>
      <c r="C45" t="s">
        <v>136</v>
      </c>
      <c r="D45" t="s">
        <v>65</v>
      </c>
      <c r="E45">
        <v>167</v>
      </c>
      <c r="F45" t="s">
        <v>59</v>
      </c>
      <c r="G45" t="s">
        <v>54</v>
      </c>
      <c r="H45" t="s">
        <v>50</v>
      </c>
      <c r="I45" t="s">
        <v>55</v>
      </c>
      <c r="J45" t="s">
        <v>50</v>
      </c>
      <c r="K45">
        <v>0.03</v>
      </c>
      <c r="L45">
        <v>162.13999999999999</v>
      </c>
      <c r="M45">
        <v>0</v>
      </c>
      <c r="N45">
        <f t="shared" si="0"/>
        <v>3</v>
      </c>
    </row>
    <row r="46" spans="1:14" x14ac:dyDescent="0.3">
      <c r="A46" t="s">
        <v>56</v>
      </c>
      <c r="B46" t="s">
        <v>50</v>
      </c>
      <c r="C46" t="s">
        <v>73</v>
      </c>
      <c r="D46" t="s">
        <v>131</v>
      </c>
      <c r="E46">
        <v>444</v>
      </c>
      <c r="F46" t="s">
        <v>59</v>
      </c>
      <c r="G46" t="s">
        <v>54</v>
      </c>
      <c r="H46" t="s">
        <v>50</v>
      </c>
      <c r="I46" t="s">
        <v>55</v>
      </c>
      <c r="J46" t="s">
        <v>50</v>
      </c>
      <c r="K46">
        <v>0.03</v>
      </c>
      <c r="L46">
        <v>431.06</v>
      </c>
      <c r="M46">
        <v>0</v>
      </c>
      <c r="N46">
        <f t="shared" si="0"/>
        <v>3</v>
      </c>
    </row>
    <row r="47" spans="1:14" x14ac:dyDescent="0.3">
      <c r="A47" t="s">
        <v>56</v>
      </c>
      <c r="B47" t="s">
        <v>50</v>
      </c>
      <c r="C47" t="s">
        <v>111</v>
      </c>
      <c r="D47" t="s">
        <v>72</v>
      </c>
      <c r="E47">
        <v>161</v>
      </c>
      <c r="F47" t="s">
        <v>59</v>
      </c>
      <c r="G47" t="s">
        <v>54</v>
      </c>
      <c r="H47" t="s">
        <v>50</v>
      </c>
      <c r="I47" t="s">
        <v>55</v>
      </c>
      <c r="J47" t="s">
        <v>50</v>
      </c>
      <c r="K47">
        <v>0.03</v>
      </c>
      <c r="L47">
        <v>156.31</v>
      </c>
      <c r="M47">
        <v>0</v>
      </c>
      <c r="N47">
        <f t="shared" si="0"/>
        <v>3</v>
      </c>
    </row>
    <row r="48" spans="1:14" x14ac:dyDescent="0.3">
      <c r="A48" t="s">
        <v>56</v>
      </c>
      <c r="B48" t="s">
        <v>50</v>
      </c>
      <c r="C48" t="s">
        <v>82</v>
      </c>
      <c r="D48" t="s">
        <v>134</v>
      </c>
      <c r="E48">
        <v>246</v>
      </c>
      <c r="F48" t="s">
        <v>59</v>
      </c>
      <c r="G48" t="s">
        <v>54</v>
      </c>
      <c r="H48" t="s">
        <v>50</v>
      </c>
      <c r="I48" t="s">
        <v>55</v>
      </c>
      <c r="J48" t="s">
        <v>50</v>
      </c>
      <c r="K48">
        <v>0.03</v>
      </c>
      <c r="L48">
        <v>238.83</v>
      </c>
      <c r="M48">
        <v>0</v>
      </c>
      <c r="N48">
        <f t="shared" si="0"/>
        <v>3</v>
      </c>
    </row>
    <row r="49" spans="1:14" x14ac:dyDescent="0.3">
      <c r="A49" t="s">
        <v>56</v>
      </c>
      <c r="B49" t="s">
        <v>50</v>
      </c>
      <c r="C49" t="s">
        <v>80</v>
      </c>
      <c r="D49" t="s">
        <v>52</v>
      </c>
      <c r="E49">
        <v>845</v>
      </c>
      <c r="F49" t="s">
        <v>59</v>
      </c>
      <c r="G49" t="s">
        <v>54</v>
      </c>
      <c r="H49" t="s">
        <v>50</v>
      </c>
      <c r="I49" t="s">
        <v>55</v>
      </c>
      <c r="J49" t="s">
        <v>50</v>
      </c>
      <c r="K49">
        <v>0.03</v>
      </c>
      <c r="L49">
        <v>581.54999999999995</v>
      </c>
      <c r="M49">
        <v>0</v>
      </c>
      <c r="N49">
        <f t="shared" si="0"/>
        <v>3</v>
      </c>
    </row>
    <row r="50" spans="1:14" x14ac:dyDescent="0.3">
      <c r="A50" t="s">
        <v>56</v>
      </c>
      <c r="B50" t="s">
        <v>50</v>
      </c>
      <c r="C50" t="s">
        <v>80</v>
      </c>
      <c r="D50" t="s">
        <v>74</v>
      </c>
      <c r="E50">
        <v>845</v>
      </c>
      <c r="F50" t="s">
        <v>59</v>
      </c>
      <c r="G50" t="s">
        <v>54</v>
      </c>
      <c r="H50" t="s">
        <v>50</v>
      </c>
      <c r="I50" t="s">
        <v>55</v>
      </c>
      <c r="J50" t="s">
        <v>50</v>
      </c>
      <c r="K50">
        <v>0.03</v>
      </c>
      <c r="L50">
        <v>238.83</v>
      </c>
      <c r="M50">
        <v>0</v>
      </c>
      <c r="N50">
        <f t="shared" si="0"/>
        <v>3</v>
      </c>
    </row>
    <row r="51" spans="1:14" x14ac:dyDescent="0.3">
      <c r="A51" t="s">
        <v>56</v>
      </c>
      <c r="B51" t="s">
        <v>50</v>
      </c>
      <c r="C51" t="s">
        <v>116</v>
      </c>
      <c r="D51" t="s">
        <v>90</v>
      </c>
      <c r="E51">
        <v>239</v>
      </c>
      <c r="F51" t="s">
        <v>59</v>
      </c>
      <c r="G51" t="s">
        <v>54</v>
      </c>
      <c r="H51" t="s">
        <v>50</v>
      </c>
      <c r="I51" t="s">
        <v>55</v>
      </c>
      <c r="J51" t="s">
        <v>50</v>
      </c>
      <c r="K51">
        <v>0.12</v>
      </c>
      <c r="L51">
        <v>213.39</v>
      </c>
      <c r="M51">
        <v>0</v>
      </c>
      <c r="N51">
        <f t="shared" si="0"/>
        <v>12</v>
      </c>
    </row>
    <row r="52" spans="1:14" x14ac:dyDescent="0.3">
      <c r="A52" t="s">
        <v>56</v>
      </c>
      <c r="B52" t="s">
        <v>50</v>
      </c>
      <c r="C52" t="s">
        <v>138</v>
      </c>
      <c r="D52" t="s">
        <v>117</v>
      </c>
      <c r="E52">
        <v>671</v>
      </c>
      <c r="F52" t="s">
        <v>59</v>
      </c>
      <c r="G52" t="s">
        <v>54</v>
      </c>
      <c r="H52" t="s">
        <v>50</v>
      </c>
      <c r="I52" t="s">
        <v>55</v>
      </c>
      <c r="J52" t="s">
        <v>50</v>
      </c>
      <c r="K52">
        <v>0.03</v>
      </c>
      <c r="L52">
        <v>651.46</v>
      </c>
      <c r="M52">
        <v>0</v>
      </c>
      <c r="N52">
        <f t="shared" si="0"/>
        <v>3</v>
      </c>
    </row>
    <row r="53" spans="1:14" x14ac:dyDescent="0.3">
      <c r="A53" t="s">
        <v>56</v>
      </c>
      <c r="B53" t="s">
        <v>50</v>
      </c>
      <c r="C53" t="s">
        <v>158</v>
      </c>
      <c r="D53" t="s">
        <v>113</v>
      </c>
      <c r="E53">
        <v>207</v>
      </c>
      <c r="F53" t="s">
        <v>59</v>
      </c>
      <c r="G53" t="s">
        <v>54</v>
      </c>
      <c r="H53" t="s">
        <v>50</v>
      </c>
      <c r="I53" t="s">
        <v>55</v>
      </c>
      <c r="J53" t="s">
        <v>50</v>
      </c>
      <c r="K53">
        <v>0.03</v>
      </c>
      <c r="L53">
        <v>200.97</v>
      </c>
      <c r="M53">
        <v>0</v>
      </c>
      <c r="N53">
        <f t="shared" si="0"/>
        <v>3</v>
      </c>
    </row>
    <row r="54" spans="1:14" x14ac:dyDescent="0.3">
      <c r="A54" t="s">
        <v>60</v>
      </c>
      <c r="B54" t="s">
        <v>50</v>
      </c>
      <c r="C54" t="s">
        <v>93</v>
      </c>
      <c r="D54" t="s">
        <v>141</v>
      </c>
      <c r="E54">
        <v>299</v>
      </c>
      <c r="F54" t="s">
        <v>63</v>
      </c>
      <c r="G54" t="s">
        <v>54</v>
      </c>
      <c r="H54" t="s">
        <v>50</v>
      </c>
      <c r="I54" t="s">
        <v>55</v>
      </c>
      <c r="J54" t="s">
        <v>50</v>
      </c>
      <c r="K54">
        <v>0.03</v>
      </c>
      <c r="L54">
        <v>290.29000000000002</v>
      </c>
      <c r="M54">
        <v>0</v>
      </c>
      <c r="N54">
        <f t="shared" si="0"/>
        <v>3</v>
      </c>
    </row>
    <row r="55" spans="1:14" x14ac:dyDescent="0.3">
      <c r="A55" t="s">
        <v>60</v>
      </c>
      <c r="B55" t="s">
        <v>50</v>
      </c>
      <c r="C55" t="s">
        <v>57</v>
      </c>
      <c r="D55" t="s">
        <v>121</v>
      </c>
      <c r="E55">
        <v>1747</v>
      </c>
      <c r="F55" t="s">
        <v>63</v>
      </c>
      <c r="G55" t="s">
        <v>54</v>
      </c>
      <c r="H55" t="s">
        <v>50</v>
      </c>
      <c r="I55" t="s">
        <v>55</v>
      </c>
      <c r="J55" t="s">
        <v>50</v>
      </c>
      <c r="K55">
        <v>0.03</v>
      </c>
      <c r="L55">
        <v>1696.12</v>
      </c>
      <c r="M55">
        <v>0</v>
      </c>
      <c r="N55">
        <f t="shared" si="0"/>
        <v>3</v>
      </c>
    </row>
    <row r="56" spans="1:14" x14ac:dyDescent="0.3">
      <c r="A56" t="s">
        <v>108</v>
      </c>
      <c r="B56" t="s">
        <v>50</v>
      </c>
      <c r="C56" t="s">
        <v>51</v>
      </c>
      <c r="D56" t="s">
        <v>72</v>
      </c>
      <c r="E56">
        <v>659</v>
      </c>
      <c r="F56" t="s">
        <v>110</v>
      </c>
      <c r="G56" t="s">
        <v>54</v>
      </c>
      <c r="H56" t="s">
        <v>50</v>
      </c>
      <c r="I56" t="s">
        <v>55</v>
      </c>
      <c r="J56" t="s">
        <v>50</v>
      </c>
      <c r="K56">
        <v>0.03</v>
      </c>
      <c r="L56">
        <v>639.80999999999995</v>
      </c>
      <c r="M56">
        <v>0</v>
      </c>
      <c r="N56">
        <f t="shared" si="0"/>
        <v>3</v>
      </c>
    </row>
    <row r="57" spans="1:14" x14ac:dyDescent="0.3">
      <c r="A57" t="s">
        <v>49</v>
      </c>
      <c r="B57" t="s">
        <v>50</v>
      </c>
      <c r="C57" t="s">
        <v>154</v>
      </c>
      <c r="D57" t="s">
        <v>98</v>
      </c>
      <c r="E57">
        <v>5047.63</v>
      </c>
      <c r="F57" t="s">
        <v>53</v>
      </c>
      <c r="G57" t="s">
        <v>54</v>
      </c>
      <c r="H57" t="s">
        <v>50</v>
      </c>
      <c r="I57" t="s">
        <v>55</v>
      </c>
      <c r="J57" t="s">
        <v>50</v>
      </c>
      <c r="K57">
        <v>0.03</v>
      </c>
      <c r="L57">
        <v>4900.6099999999997</v>
      </c>
      <c r="M57">
        <v>0</v>
      </c>
      <c r="N57">
        <f t="shared" si="0"/>
        <v>3</v>
      </c>
    </row>
    <row r="58" spans="1:14" x14ac:dyDescent="0.3">
      <c r="A58" t="s">
        <v>56</v>
      </c>
      <c r="B58" t="s">
        <v>50</v>
      </c>
      <c r="C58" t="s">
        <v>135</v>
      </c>
      <c r="D58" t="s">
        <v>92</v>
      </c>
      <c r="E58">
        <v>359</v>
      </c>
      <c r="F58" t="s">
        <v>59</v>
      </c>
      <c r="G58" t="s">
        <v>54</v>
      </c>
      <c r="H58" t="s">
        <v>50</v>
      </c>
      <c r="I58" t="s">
        <v>55</v>
      </c>
      <c r="J58" t="s">
        <v>50</v>
      </c>
      <c r="K58">
        <v>0.03</v>
      </c>
      <c r="L58">
        <v>348.54</v>
      </c>
      <c r="M58">
        <v>0</v>
      </c>
      <c r="N58">
        <f t="shared" si="0"/>
        <v>3</v>
      </c>
    </row>
    <row r="59" spans="1:14" x14ac:dyDescent="0.3">
      <c r="A59" t="s">
        <v>108</v>
      </c>
      <c r="B59" t="s">
        <v>50</v>
      </c>
      <c r="C59" t="s">
        <v>100</v>
      </c>
      <c r="D59" t="s">
        <v>113</v>
      </c>
      <c r="E59">
        <v>749</v>
      </c>
      <c r="F59" t="s">
        <v>110</v>
      </c>
      <c r="G59" t="s">
        <v>54</v>
      </c>
      <c r="H59" t="s">
        <v>50</v>
      </c>
      <c r="I59" t="s">
        <v>55</v>
      </c>
      <c r="J59" t="s">
        <v>50</v>
      </c>
      <c r="K59">
        <v>0.03</v>
      </c>
      <c r="L59">
        <v>727.19</v>
      </c>
      <c r="M59">
        <v>0</v>
      </c>
      <c r="N59">
        <f t="shared" si="0"/>
        <v>3</v>
      </c>
    </row>
    <row r="60" spans="1:14" x14ac:dyDescent="0.3">
      <c r="A60" t="s">
        <v>56</v>
      </c>
      <c r="B60" t="s">
        <v>50</v>
      </c>
      <c r="C60" t="s">
        <v>85</v>
      </c>
      <c r="D60" t="s">
        <v>76</v>
      </c>
      <c r="E60">
        <v>246</v>
      </c>
      <c r="F60" t="s">
        <v>59</v>
      </c>
      <c r="G60" t="s">
        <v>54</v>
      </c>
      <c r="H60" t="s">
        <v>50</v>
      </c>
      <c r="I60" t="s">
        <v>55</v>
      </c>
      <c r="J60" t="s">
        <v>50</v>
      </c>
      <c r="K60">
        <v>0.03</v>
      </c>
      <c r="L60">
        <v>238.83</v>
      </c>
      <c r="M60">
        <v>0</v>
      </c>
      <c r="N60">
        <f t="shared" si="0"/>
        <v>3</v>
      </c>
    </row>
    <row r="61" spans="1:14" x14ac:dyDescent="0.3">
      <c r="A61" t="s">
        <v>56</v>
      </c>
      <c r="B61" t="s">
        <v>50</v>
      </c>
      <c r="C61" t="s">
        <v>89</v>
      </c>
      <c r="D61" t="s">
        <v>104</v>
      </c>
      <c r="E61">
        <v>359</v>
      </c>
      <c r="F61" t="s">
        <v>59</v>
      </c>
      <c r="G61" t="s">
        <v>54</v>
      </c>
      <c r="H61" t="s">
        <v>50</v>
      </c>
      <c r="I61" t="s">
        <v>55</v>
      </c>
      <c r="J61" t="s">
        <v>50</v>
      </c>
      <c r="K61">
        <v>0.03</v>
      </c>
      <c r="L61">
        <v>348.54</v>
      </c>
      <c r="M61">
        <v>0</v>
      </c>
      <c r="N61">
        <f t="shared" si="0"/>
        <v>3</v>
      </c>
    </row>
    <row r="62" spans="1:14" x14ac:dyDescent="0.3">
      <c r="A62" t="s">
        <v>56</v>
      </c>
      <c r="B62" t="s">
        <v>50</v>
      </c>
      <c r="C62" t="s">
        <v>106</v>
      </c>
      <c r="D62" t="s">
        <v>124</v>
      </c>
      <c r="E62">
        <v>214</v>
      </c>
      <c r="F62" t="s">
        <v>59</v>
      </c>
      <c r="G62" t="s">
        <v>54</v>
      </c>
      <c r="H62" t="s">
        <v>50</v>
      </c>
      <c r="I62" t="s">
        <v>55</v>
      </c>
      <c r="J62" t="s">
        <v>50</v>
      </c>
      <c r="K62">
        <v>0.03</v>
      </c>
      <c r="L62">
        <v>207.77</v>
      </c>
      <c r="M62">
        <v>0</v>
      </c>
      <c r="N62">
        <f t="shared" si="0"/>
        <v>3</v>
      </c>
    </row>
    <row r="63" spans="1:14" x14ac:dyDescent="0.3">
      <c r="A63" t="s">
        <v>56</v>
      </c>
      <c r="B63" t="s">
        <v>50</v>
      </c>
      <c r="C63" t="s">
        <v>143</v>
      </c>
      <c r="D63" t="s">
        <v>72</v>
      </c>
      <c r="E63">
        <v>278</v>
      </c>
      <c r="F63" t="s">
        <v>59</v>
      </c>
      <c r="G63" t="s">
        <v>54</v>
      </c>
      <c r="H63" t="s">
        <v>50</v>
      </c>
      <c r="I63" t="s">
        <v>55</v>
      </c>
      <c r="J63" t="s">
        <v>50</v>
      </c>
      <c r="K63">
        <v>0.03</v>
      </c>
      <c r="L63">
        <v>269.89999999999998</v>
      </c>
      <c r="M63">
        <v>0</v>
      </c>
      <c r="N63">
        <f t="shared" si="0"/>
        <v>3</v>
      </c>
    </row>
    <row r="64" spans="1:14" x14ac:dyDescent="0.3">
      <c r="A64" t="s">
        <v>108</v>
      </c>
      <c r="B64" t="s">
        <v>50</v>
      </c>
      <c r="C64" t="s">
        <v>150</v>
      </c>
      <c r="D64" t="s">
        <v>104</v>
      </c>
      <c r="E64">
        <v>334</v>
      </c>
      <c r="F64" t="s">
        <v>110</v>
      </c>
      <c r="G64" t="s">
        <v>54</v>
      </c>
      <c r="H64" t="s">
        <v>50</v>
      </c>
      <c r="I64" t="s">
        <v>55</v>
      </c>
      <c r="J64" t="s">
        <v>50</v>
      </c>
      <c r="K64">
        <v>0.03</v>
      </c>
      <c r="L64">
        <v>324.27999999999997</v>
      </c>
      <c r="M64">
        <v>0</v>
      </c>
      <c r="N64">
        <f t="shared" si="0"/>
        <v>3</v>
      </c>
    </row>
    <row r="65" spans="1:14" x14ac:dyDescent="0.3">
      <c r="A65" t="s">
        <v>56</v>
      </c>
      <c r="B65" t="s">
        <v>50</v>
      </c>
      <c r="C65" t="s">
        <v>162</v>
      </c>
      <c r="D65" t="s">
        <v>153</v>
      </c>
      <c r="E65">
        <v>260</v>
      </c>
      <c r="F65" t="s">
        <v>59</v>
      </c>
      <c r="G65" t="s">
        <v>54</v>
      </c>
      <c r="H65" t="s">
        <v>50</v>
      </c>
      <c r="I65" t="s">
        <v>55</v>
      </c>
      <c r="J65" t="s">
        <v>50</v>
      </c>
      <c r="K65">
        <v>0.03</v>
      </c>
      <c r="L65">
        <v>252.43</v>
      </c>
      <c r="M65">
        <v>0</v>
      </c>
      <c r="N65">
        <f t="shared" si="0"/>
        <v>3</v>
      </c>
    </row>
    <row r="66" spans="1:14" x14ac:dyDescent="0.3">
      <c r="A66" t="s">
        <v>56</v>
      </c>
      <c r="B66" t="s">
        <v>50</v>
      </c>
      <c r="C66" t="s">
        <v>123</v>
      </c>
      <c r="D66" t="s">
        <v>52</v>
      </c>
      <c r="E66">
        <v>281.39999999999998</v>
      </c>
      <c r="F66" t="s">
        <v>59</v>
      </c>
      <c r="G66" t="s">
        <v>54</v>
      </c>
      <c r="H66" t="s">
        <v>50</v>
      </c>
      <c r="I66" t="s">
        <v>55</v>
      </c>
      <c r="J66" t="s">
        <v>50</v>
      </c>
      <c r="K66">
        <v>0.03</v>
      </c>
      <c r="L66">
        <v>273.2</v>
      </c>
      <c r="M66">
        <v>0</v>
      </c>
      <c r="N66">
        <f t="shared" si="0"/>
        <v>3</v>
      </c>
    </row>
    <row r="67" spans="1:14" x14ac:dyDescent="0.3">
      <c r="A67" t="s">
        <v>60</v>
      </c>
      <c r="B67" t="s">
        <v>50</v>
      </c>
      <c r="C67" t="s">
        <v>78</v>
      </c>
      <c r="D67" t="s">
        <v>72</v>
      </c>
      <c r="E67">
        <v>353</v>
      </c>
      <c r="F67" t="s">
        <v>63</v>
      </c>
      <c r="G67" t="s">
        <v>54</v>
      </c>
      <c r="H67" t="s">
        <v>50</v>
      </c>
      <c r="I67" t="s">
        <v>55</v>
      </c>
      <c r="J67" t="s">
        <v>50</v>
      </c>
      <c r="K67">
        <v>0.03</v>
      </c>
      <c r="L67">
        <v>342.72</v>
      </c>
      <c r="M67">
        <v>0</v>
      </c>
      <c r="N67">
        <f t="shared" si="0"/>
        <v>3</v>
      </c>
    </row>
    <row r="68" spans="1:14" x14ac:dyDescent="0.3">
      <c r="A68" t="s">
        <v>56</v>
      </c>
      <c r="B68" t="s">
        <v>50</v>
      </c>
      <c r="C68" t="s">
        <v>109</v>
      </c>
      <c r="D68" t="s">
        <v>92</v>
      </c>
      <c r="E68">
        <v>207</v>
      </c>
      <c r="F68" t="s">
        <v>59</v>
      </c>
      <c r="G68" t="s">
        <v>54</v>
      </c>
      <c r="H68" t="s">
        <v>50</v>
      </c>
      <c r="I68" t="s">
        <v>55</v>
      </c>
      <c r="J68" t="s">
        <v>50</v>
      </c>
      <c r="K68">
        <v>0.03</v>
      </c>
      <c r="L68">
        <v>200.97</v>
      </c>
      <c r="M68">
        <v>0</v>
      </c>
      <c r="N68">
        <f t="shared" si="0"/>
        <v>3</v>
      </c>
    </row>
    <row r="69" spans="1:14" x14ac:dyDescent="0.3">
      <c r="A69" t="s">
        <v>56</v>
      </c>
      <c r="B69" t="s">
        <v>50</v>
      </c>
      <c r="C69" t="s">
        <v>122</v>
      </c>
      <c r="D69" t="s">
        <v>124</v>
      </c>
      <c r="E69">
        <v>174</v>
      </c>
      <c r="F69" t="s">
        <v>59</v>
      </c>
      <c r="G69" t="s">
        <v>54</v>
      </c>
      <c r="H69" t="s">
        <v>50</v>
      </c>
      <c r="I69" t="s">
        <v>55</v>
      </c>
      <c r="J69" t="s">
        <v>50</v>
      </c>
      <c r="K69">
        <v>0.03</v>
      </c>
      <c r="L69">
        <v>168.93</v>
      </c>
      <c r="M69">
        <v>0</v>
      </c>
      <c r="N69">
        <f t="shared" si="0"/>
        <v>3</v>
      </c>
    </row>
    <row r="70" spans="1:14" x14ac:dyDescent="0.3">
      <c r="A70" t="s">
        <v>56</v>
      </c>
      <c r="B70" t="s">
        <v>50</v>
      </c>
      <c r="C70" t="s">
        <v>146</v>
      </c>
      <c r="D70" t="s">
        <v>141</v>
      </c>
      <c r="E70">
        <v>299</v>
      </c>
      <c r="F70" t="s">
        <v>59</v>
      </c>
      <c r="G70" t="s">
        <v>54</v>
      </c>
      <c r="H70" t="s">
        <v>50</v>
      </c>
      <c r="I70" t="s">
        <v>55</v>
      </c>
      <c r="J70" t="s">
        <v>50</v>
      </c>
      <c r="K70">
        <v>0.03</v>
      </c>
      <c r="L70">
        <v>290.29000000000002</v>
      </c>
      <c r="M70">
        <v>0</v>
      </c>
      <c r="N70">
        <f t="shared" ref="N70:N83" si="1">K70*100</f>
        <v>3</v>
      </c>
    </row>
    <row r="71" spans="1:14" x14ac:dyDescent="0.3">
      <c r="A71" t="s">
        <v>56</v>
      </c>
      <c r="B71" t="s">
        <v>50</v>
      </c>
      <c r="C71" t="s">
        <v>118</v>
      </c>
      <c r="D71" t="s">
        <v>101</v>
      </c>
      <c r="E71">
        <v>243</v>
      </c>
      <c r="F71" t="s">
        <v>59</v>
      </c>
      <c r="G71" t="s">
        <v>54</v>
      </c>
      <c r="H71" t="s">
        <v>50</v>
      </c>
      <c r="I71" t="s">
        <v>55</v>
      </c>
      <c r="J71" t="s">
        <v>50</v>
      </c>
      <c r="K71">
        <v>0.03</v>
      </c>
      <c r="L71">
        <v>235.92</v>
      </c>
      <c r="M71">
        <v>0</v>
      </c>
      <c r="N71">
        <f t="shared" si="1"/>
        <v>3</v>
      </c>
    </row>
    <row r="72" spans="1:14" x14ac:dyDescent="0.3">
      <c r="A72" t="s">
        <v>56</v>
      </c>
      <c r="B72" t="s">
        <v>50</v>
      </c>
      <c r="C72" t="s">
        <v>142</v>
      </c>
      <c r="D72" t="s">
        <v>98</v>
      </c>
      <c r="E72">
        <v>371</v>
      </c>
      <c r="F72" t="s">
        <v>59</v>
      </c>
      <c r="G72" t="s">
        <v>54</v>
      </c>
      <c r="H72" t="s">
        <v>50</v>
      </c>
      <c r="I72" t="s">
        <v>55</v>
      </c>
      <c r="J72" t="s">
        <v>50</v>
      </c>
      <c r="K72">
        <v>0.03</v>
      </c>
      <c r="L72">
        <v>360.19</v>
      </c>
      <c r="M72">
        <v>0</v>
      </c>
      <c r="N72">
        <f t="shared" si="1"/>
        <v>3</v>
      </c>
    </row>
    <row r="73" spans="1:14" x14ac:dyDescent="0.3">
      <c r="A73" t="s">
        <v>56</v>
      </c>
      <c r="B73" t="s">
        <v>50</v>
      </c>
      <c r="C73" t="s">
        <v>107</v>
      </c>
      <c r="D73" t="s">
        <v>70</v>
      </c>
      <c r="E73">
        <v>460</v>
      </c>
      <c r="F73" t="s">
        <v>59</v>
      </c>
      <c r="G73" t="s">
        <v>54</v>
      </c>
      <c r="H73" t="s">
        <v>50</v>
      </c>
      <c r="I73" t="s">
        <v>55</v>
      </c>
      <c r="J73" t="s">
        <v>50</v>
      </c>
      <c r="K73">
        <v>0.03</v>
      </c>
      <c r="L73">
        <v>446.6</v>
      </c>
      <c r="M73">
        <v>0</v>
      </c>
      <c r="N73">
        <f t="shared" si="1"/>
        <v>3</v>
      </c>
    </row>
    <row r="74" spans="1:14" x14ac:dyDescent="0.3">
      <c r="A74" t="s">
        <v>56</v>
      </c>
      <c r="B74" t="s">
        <v>50</v>
      </c>
      <c r="C74" t="s">
        <v>128</v>
      </c>
      <c r="D74" t="s">
        <v>72</v>
      </c>
      <c r="E74">
        <v>250</v>
      </c>
      <c r="F74" t="s">
        <v>59</v>
      </c>
      <c r="G74" t="s">
        <v>54</v>
      </c>
      <c r="H74" t="s">
        <v>50</v>
      </c>
      <c r="I74" t="s">
        <v>55</v>
      </c>
      <c r="J74" t="s">
        <v>50</v>
      </c>
      <c r="K74">
        <v>0.03</v>
      </c>
      <c r="L74">
        <v>242.72</v>
      </c>
      <c r="M74">
        <v>0</v>
      </c>
      <c r="N74">
        <f t="shared" si="1"/>
        <v>3</v>
      </c>
    </row>
    <row r="75" spans="1:14" x14ac:dyDescent="0.3">
      <c r="A75" t="s">
        <v>56</v>
      </c>
      <c r="B75" t="s">
        <v>50</v>
      </c>
      <c r="C75" t="s">
        <v>164</v>
      </c>
      <c r="D75" t="s">
        <v>113</v>
      </c>
      <c r="E75">
        <v>179</v>
      </c>
      <c r="F75" t="s">
        <v>59</v>
      </c>
      <c r="G75" t="s">
        <v>54</v>
      </c>
      <c r="H75" t="s">
        <v>50</v>
      </c>
      <c r="I75" t="s">
        <v>55</v>
      </c>
      <c r="J75" t="s">
        <v>50</v>
      </c>
      <c r="K75">
        <v>0.12</v>
      </c>
      <c r="L75">
        <v>159.82</v>
      </c>
      <c r="M75">
        <v>0</v>
      </c>
      <c r="N75">
        <f t="shared" si="1"/>
        <v>12</v>
      </c>
    </row>
    <row r="76" spans="1:14" x14ac:dyDescent="0.3">
      <c r="A76" t="s">
        <v>60</v>
      </c>
      <c r="B76" t="s">
        <v>50</v>
      </c>
      <c r="C76" t="s">
        <v>61</v>
      </c>
      <c r="D76" t="s">
        <v>62</v>
      </c>
      <c r="E76">
        <v>299</v>
      </c>
      <c r="F76" t="s">
        <v>63</v>
      </c>
      <c r="G76" t="s">
        <v>54</v>
      </c>
      <c r="H76" t="s">
        <v>50</v>
      </c>
      <c r="I76" t="s">
        <v>55</v>
      </c>
      <c r="J76" t="s">
        <v>50</v>
      </c>
      <c r="K76">
        <v>0.03</v>
      </c>
      <c r="L76">
        <v>290.29000000000002</v>
      </c>
      <c r="M76">
        <v>0</v>
      </c>
      <c r="N76">
        <f t="shared" si="1"/>
        <v>3</v>
      </c>
    </row>
    <row r="77" spans="1:14" x14ac:dyDescent="0.3">
      <c r="A77" t="s">
        <v>56</v>
      </c>
      <c r="B77" t="s">
        <v>50</v>
      </c>
      <c r="C77" t="s">
        <v>152</v>
      </c>
      <c r="D77" t="s">
        <v>96</v>
      </c>
      <c r="E77">
        <v>207</v>
      </c>
      <c r="F77" t="s">
        <v>59</v>
      </c>
      <c r="G77" t="s">
        <v>54</v>
      </c>
      <c r="H77" t="s">
        <v>50</v>
      </c>
      <c r="I77" t="s">
        <v>55</v>
      </c>
      <c r="K77">
        <v>0.03</v>
      </c>
      <c r="L77">
        <v>200.97</v>
      </c>
      <c r="M77">
        <v>0</v>
      </c>
      <c r="N77">
        <f t="shared" si="1"/>
        <v>3</v>
      </c>
    </row>
    <row r="78" spans="1:14" x14ac:dyDescent="0.3">
      <c r="A78" t="s">
        <v>56</v>
      </c>
      <c r="B78" t="s">
        <v>50</v>
      </c>
      <c r="C78" t="s">
        <v>103</v>
      </c>
      <c r="D78" t="s">
        <v>72</v>
      </c>
      <c r="E78">
        <v>250</v>
      </c>
      <c r="F78" t="s">
        <v>59</v>
      </c>
      <c r="G78" t="s">
        <v>54</v>
      </c>
      <c r="H78" t="s">
        <v>50</v>
      </c>
      <c r="I78" t="s">
        <v>55</v>
      </c>
      <c r="J78" t="s">
        <v>50</v>
      </c>
      <c r="K78">
        <v>0.03</v>
      </c>
      <c r="L78">
        <v>242.72</v>
      </c>
      <c r="M78">
        <v>0</v>
      </c>
      <c r="N78">
        <f t="shared" si="1"/>
        <v>3</v>
      </c>
    </row>
    <row r="79" spans="1:14" x14ac:dyDescent="0.3">
      <c r="A79" t="s">
        <v>56</v>
      </c>
      <c r="B79" t="s">
        <v>50</v>
      </c>
      <c r="C79" t="s">
        <v>172</v>
      </c>
      <c r="D79" t="s">
        <v>70</v>
      </c>
      <c r="E79">
        <v>353</v>
      </c>
      <c r="F79" t="s">
        <v>59</v>
      </c>
      <c r="G79" t="s">
        <v>54</v>
      </c>
      <c r="H79" t="s">
        <v>50</v>
      </c>
      <c r="I79" t="s">
        <v>55</v>
      </c>
      <c r="J79" t="s">
        <v>50</v>
      </c>
      <c r="K79">
        <v>0.03</v>
      </c>
      <c r="L79">
        <v>342.72</v>
      </c>
      <c r="M79">
        <v>0</v>
      </c>
      <c r="N79">
        <f t="shared" si="1"/>
        <v>3</v>
      </c>
    </row>
    <row r="80" spans="1:14" x14ac:dyDescent="0.3">
      <c r="A80" t="s">
        <v>56</v>
      </c>
      <c r="B80" t="s">
        <v>50</v>
      </c>
      <c r="C80" t="s">
        <v>155</v>
      </c>
      <c r="D80" t="s">
        <v>79</v>
      </c>
      <c r="E80">
        <v>246</v>
      </c>
      <c r="F80" t="s">
        <v>59</v>
      </c>
      <c r="G80" t="s">
        <v>54</v>
      </c>
      <c r="H80" t="s">
        <v>50</v>
      </c>
      <c r="I80" t="s">
        <v>55</v>
      </c>
      <c r="J80" t="s">
        <v>50</v>
      </c>
      <c r="K80">
        <v>0.03</v>
      </c>
      <c r="L80">
        <v>238.83</v>
      </c>
      <c r="M80">
        <v>0</v>
      </c>
      <c r="N80">
        <f t="shared" si="1"/>
        <v>3</v>
      </c>
    </row>
    <row r="81" spans="1:14" x14ac:dyDescent="0.3">
      <c r="A81" t="s">
        <v>56</v>
      </c>
      <c r="B81" t="s">
        <v>50</v>
      </c>
      <c r="C81" t="s">
        <v>149</v>
      </c>
      <c r="D81" t="s">
        <v>124</v>
      </c>
      <c r="E81">
        <v>499</v>
      </c>
      <c r="F81" t="s">
        <v>59</v>
      </c>
      <c r="G81" t="s">
        <v>54</v>
      </c>
      <c r="H81" t="s">
        <v>50</v>
      </c>
      <c r="I81" t="s">
        <v>55</v>
      </c>
      <c r="J81" t="s">
        <v>50</v>
      </c>
      <c r="K81">
        <v>0.03</v>
      </c>
      <c r="L81">
        <v>484.47</v>
      </c>
      <c r="M81">
        <v>0</v>
      </c>
      <c r="N81">
        <f t="shared" si="1"/>
        <v>3</v>
      </c>
    </row>
    <row r="82" spans="1:14" x14ac:dyDescent="0.3">
      <c r="A82" t="s">
        <v>56</v>
      </c>
      <c r="B82" t="s">
        <v>50</v>
      </c>
      <c r="C82" t="s">
        <v>151</v>
      </c>
      <c r="D82" t="s">
        <v>171</v>
      </c>
      <c r="E82">
        <v>54</v>
      </c>
      <c r="F82" t="s">
        <v>59</v>
      </c>
      <c r="G82" t="s">
        <v>54</v>
      </c>
      <c r="H82" t="s">
        <v>50</v>
      </c>
      <c r="I82" t="s">
        <v>55</v>
      </c>
      <c r="J82" t="s">
        <v>50</v>
      </c>
      <c r="K82">
        <v>0.03</v>
      </c>
      <c r="L82">
        <v>52.43</v>
      </c>
      <c r="M82">
        <v>0</v>
      </c>
      <c r="N82">
        <f t="shared" si="1"/>
        <v>3</v>
      </c>
    </row>
    <row r="83" spans="1:14" x14ac:dyDescent="0.3">
      <c r="A83" t="s">
        <v>49</v>
      </c>
      <c r="B83" t="s">
        <v>50</v>
      </c>
      <c r="C83" t="s">
        <v>140</v>
      </c>
      <c r="D83" t="s">
        <v>70</v>
      </c>
      <c r="E83">
        <v>7006.2900000000009</v>
      </c>
      <c r="F83" t="s">
        <v>53</v>
      </c>
      <c r="G83" t="s">
        <v>54</v>
      </c>
      <c r="H83" t="s">
        <v>50</v>
      </c>
      <c r="I83" t="s">
        <v>55</v>
      </c>
      <c r="J83" t="s">
        <v>50</v>
      </c>
      <c r="K83">
        <v>0.03</v>
      </c>
      <c r="L83">
        <v>6802.2199999999993</v>
      </c>
      <c r="M83">
        <v>0</v>
      </c>
      <c r="N83">
        <f t="shared" si="1"/>
        <v>3</v>
      </c>
    </row>
  </sheetData>
  <sortState xmlns:xlrd2="http://schemas.microsoft.com/office/spreadsheetml/2017/richdata2" ref="C5:C83">
    <sortCondition ref="C5:C83"/>
  </sortState>
  <conditionalFormatting sqref="C5:C83">
    <cfRule type="duplicateValues" dxfId="11" priority="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D2382-9005-42B7-84B2-F61742286D04}">
  <dimension ref="A1:U80"/>
  <sheetViews>
    <sheetView tabSelected="1" topLeftCell="P1" workbookViewId="0">
      <selection activeCell="S2" sqref="S2:T8"/>
    </sheetView>
  </sheetViews>
  <sheetFormatPr defaultRowHeight="14.4" x14ac:dyDescent="0.3"/>
  <cols>
    <col min="1" max="1" width="13.77734375" customWidth="1"/>
    <col min="2" max="3" width="13.33203125" customWidth="1"/>
    <col min="5" max="5" width="13.5546875" customWidth="1"/>
    <col min="6" max="6" width="11.88671875" customWidth="1"/>
    <col min="7" max="7" width="12.109375" customWidth="1"/>
    <col min="14" max="14" width="13" bestFit="1" customWidth="1"/>
    <col min="15" max="15" width="9" bestFit="1" customWidth="1"/>
    <col min="16" max="16" width="14.88671875" bestFit="1" customWidth="1"/>
    <col min="17" max="17" width="19" bestFit="1" customWidth="1"/>
    <col min="18" max="18" width="11.21875" bestFit="1" customWidth="1"/>
    <col min="19" max="19" width="19.33203125" bestFit="1" customWidth="1"/>
    <col min="20" max="20" width="11.6640625" bestFit="1" customWidth="1"/>
    <col min="21" max="21" width="11.77734375" bestFit="1" customWidth="1"/>
  </cols>
  <sheetData>
    <row r="1" spans="1:21" x14ac:dyDescent="0.3">
      <c r="A1" t="s">
        <v>234</v>
      </c>
      <c r="B1" t="s">
        <v>215</v>
      </c>
      <c r="C1" t="s">
        <v>235</v>
      </c>
      <c r="D1" t="s">
        <v>236</v>
      </c>
      <c r="E1" t="s">
        <v>40</v>
      </c>
      <c r="F1" t="s">
        <v>47</v>
      </c>
      <c r="G1" t="s">
        <v>237</v>
      </c>
      <c r="H1" t="s">
        <v>238</v>
      </c>
      <c r="I1" t="s">
        <v>239</v>
      </c>
      <c r="N1" s="47" t="s">
        <v>235</v>
      </c>
      <c r="O1" s="47" t="s">
        <v>215</v>
      </c>
      <c r="P1" t="s">
        <v>240</v>
      </c>
      <c r="Q1" t="s">
        <v>241</v>
      </c>
      <c r="R1" t="s">
        <v>242</v>
      </c>
      <c r="S1" t="s">
        <v>243</v>
      </c>
      <c r="T1" t="s">
        <v>244</v>
      </c>
      <c r="U1" t="s">
        <v>245</v>
      </c>
    </row>
    <row r="2" spans="1:21" x14ac:dyDescent="0.3">
      <c r="A2" t="s">
        <v>53</v>
      </c>
      <c r="B2">
        <v>71179010</v>
      </c>
      <c r="C2">
        <v>3</v>
      </c>
      <c r="D2">
        <v>1</v>
      </c>
      <c r="E2">
        <f>SUM(F2:I2)</f>
        <v>1385.4299999999998</v>
      </c>
      <c r="F2">
        <v>1345.08</v>
      </c>
      <c r="G2">
        <f>ROUND(F2*C2%,2)</f>
        <v>40.35</v>
      </c>
      <c r="H2">
        <v>0</v>
      </c>
      <c r="I2">
        <v>0</v>
      </c>
      <c r="N2">
        <v>3</v>
      </c>
      <c r="O2">
        <v>71179010</v>
      </c>
      <c r="P2" s="46">
        <v>74</v>
      </c>
      <c r="Q2" s="46">
        <v>51702.250000000007</v>
      </c>
      <c r="R2" s="46">
        <v>1497.1699999999996</v>
      </c>
      <c r="S2" s="46">
        <v>50196.380000000019</v>
      </c>
      <c r="T2" s="46">
        <v>4.3499999999999996</v>
      </c>
      <c r="U2" s="46">
        <v>4.3499999999999996</v>
      </c>
    </row>
    <row r="3" spans="1:21" x14ac:dyDescent="0.3">
      <c r="A3" t="s">
        <v>59</v>
      </c>
      <c r="B3">
        <v>71179010</v>
      </c>
      <c r="C3">
        <v>3</v>
      </c>
      <c r="D3">
        <v>1</v>
      </c>
      <c r="E3">
        <f t="shared" ref="E3:E66" si="0">SUM(F3:I3)</f>
        <v>515</v>
      </c>
      <c r="F3">
        <v>500</v>
      </c>
      <c r="G3">
        <f t="shared" ref="G3:G24" si="1">ROUND(F3*C3%,2)</f>
        <v>15</v>
      </c>
      <c r="H3">
        <v>0</v>
      </c>
      <c r="I3">
        <v>0</v>
      </c>
      <c r="N3">
        <v>12</v>
      </c>
      <c r="O3">
        <v>9615</v>
      </c>
      <c r="P3" s="46">
        <v>5</v>
      </c>
      <c r="Q3" s="46">
        <v>1156.3200000000002</v>
      </c>
      <c r="R3" s="46">
        <v>123.9</v>
      </c>
      <c r="S3" s="46">
        <v>1032.42</v>
      </c>
      <c r="T3" s="46">
        <v>0</v>
      </c>
      <c r="U3" s="46">
        <v>0</v>
      </c>
    </row>
    <row r="4" spans="1:21" x14ac:dyDescent="0.3">
      <c r="A4" t="s">
        <v>63</v>
      </c>
      <c r="B4">
        <v>71179010</v>
      </c>
      <c r="C4">
        <v>3</v>
      </c>
      <c r="D4">
        <v>1</v>
      </c>
      <c r="E4">
        <f t="shared" si="0"/>
        <v>537.99999999999989</v>
      </c>
      <c r="F4">
        <v>522.32999999999993</v>
      </c>
      <c r="G4">
        <f t="shared" si="1"/>
        <v>15.67</v>
      </c>
      <c r="H4">
        <v>0</v>
      </c>
      <c r="I4">
        <v>0</v>
      </c>
    </row>
    <row r="5" spans="1:21" x14ac:dyDescent="0.3">
      <c r="A5" t="s">
        <v>59</v>
      </c>
      <c r="B5">
        <v>71179010</v>
      </c>
      <c r="C5">
        <v>3</v>
      </c>
      <c r="D5">
        <v>1</v>
      </c>
      <c r="E5">
        <f t="shared" si="0"/>
        <v>245.99</v>
      </c>
      <c r="F5">
        <v>238.83</v>
      </c>
      <c r="G5">
        <f t="shared" si="1"/>
        <v>7.16</v>
      </c>
      <c r="H5">
        <v>0</v>
      </c>
      <c r="I5">
        <v>0</v>
      </c>
    </row>
    <row r="6" spans="1:21" x14ac:dyDescent="0.3">
      <c r="A6" t="s">
        <v>53</v>
      </c>
      <c r="B6">
        <v>71179010</v>
      </c>
      <c r="C6">
        <v>3</v>
      </c>
      <c r="D6">
        <v>1</v>
      </c>
      <c r="E6">
        <f t="shared" si="0"/>
        <v>9111.5299999999988</v>
      </c>
      <c r="F6">
        <v>8846.15</v>
      </c>
      <c r="G6">
        <f t="shared" si="1"/>
        <v>265.38</v>
      </c>
      <c r="H6">
        <v>0</v>
      </c>
      <c r="I6">
        <v>0</v>
      </c>
    </row>
    <row r="7" spans="1:21" x14ac:dyDescent="0.3">
      <c r="A7" t="s">
        <v>59</v>
      </c>
      <c r="B7">
        <v>71179010</v>
      </c>
      <c r="C7">
        <v>3</v>
      </c>
      <c r="D7">
        <v>1</v>
      </c>
      <c r="E7">
        <f t="shared" si="0"/>
        <v>245.99</v>
      </c>
      <c r="F7">
        <v>238.83</v>
      </c>
      <c r="G7">
        <f t="shared" si="1"/>
        <v>7.16</v>
      </c>
      <c r="H7">
        <v>0</v>
      </c>
      <c r="I7">
        <v>0</v>
      </c>
    </row>
    <row r="8" spans="1:21" x14ac:dyDescent="0.3">
      <c r="A8" t="s">
        <v>59</v>
      </c>
      <c r="B8">
        <v>71179010</v>
      </c>
      <c r="C8">
        <v>3</v>
      </c>
      <c r="D8">
        <v>1</v>
      </c>
      <c r="E8">
        <f t="shared" si="0"/>
        <v>299</v>
      </c>
      <c r="F8">
        <v>290.29000000000002</v>
      </c>
      <c r="G8">
        <f t="shared" si="1"/>
        <v>8.7100000000000009</v>
      </c>
      <c r="H8">
        <v>0</v>
      </c>
      <c r="I8">
        <v>0</v>
      </c>
    </row>
    <row r="9" spans="1:21" x14ac:dyDescent="0.3">
      <c r="A9" t="s">
        <v>59</v>
      </c>
      <c r="B9">
        <v>71179010</v>
      </c>
      <c r="C9">
        <v>3</v>
      </c>
      <c r="D9">
        <v>1</v>
      </c>
      <c r="E9">
        <f t="shared" si="0"/>
        <v>299</v>
      </c>
      <c r="F9">
        <v>290.29000000000002</v>
      </c>
      <c r="G9">
        <f t="shared" si="1"/>
        <v>8.7100000000000009</v>
      </c>
      <c r="H9">
        <v>0</v>
      </c>
      <c r="I9">
        <v>0</v>
      </c>
    </row>
    <row r="10" spans="1:21" x14ac:dyDescent="0.3">
      <c r="A10" t="s">
        <v>59</v>
      </c>
      <c r="B10">
        <v>71179010</v>
      </c>
      <c r="C10">
        <v>3</v>
      </c>
      <c r="D10">
        <v>1</v>
      </c>
      <c r="E10">
        <f t="shared" si="0"/>
        <v>245.99</v>
      </c>
      <c r="F10">
        <v>238.83</v>
      </c>
      <c r="G10">
        <f t="shared" si="1"/>
        <v>7.16</v>
      </c>
      <c r="H10">
        <v>0</v>
      </c>
      <c r="I10">
        <v>0</v>
      </c>
    </row>
    <row r="11" spans="1:21" x14ac:dyDescent="0.3">
      <c r="A11" t="s">
        <v>59</v>
      </c>
      <c r="B11">
        <v>71179010</v>
      </c>
      <c r="C11">
        <v>3</v>
      </c>
      <c r="D11">
        <v>1</v>
      </c>
      <c r="E11">
        <f t="shared" si="0"/>
        <v>207</v>
      </c>
      <c r="F11">
        <v>200.97</v>
      </c>
      <c r="G11">
        <f t="shared" si="1"/>
        <v>6.03</v>
      </c>
      <c r="H11">
        <v>0</v>
      </c>
      <c r="I11">
        <v>0</v>
      </c>
    </row>
    <row r="12" spans="1:21" x14ac:dyDescent="0.3">
      <c r="A12" t="s">
        <v>59</v>
      </c>
      <c r="B12">
        <v>71179010</v>
      </c>
      <c r="C12">
        <v>3</v>
      </c>
      <c r="D12">
        <v>1</v>
      </c>
      <c r="E12">
        <f t="shared" si="0"/>
        <v>281.39999999999998</v>
      </c>
      <c r="F12">
        <v>273.2</v>
      </c>
      <c r="G12">
        <f t="shared" si="1"/>
        <v>8.1999999999999993</v>
      </c>
      <c r="H12">
        <v>0</v>
      </c>
      <c r="I12">
        <v>0</v>
      </c>
    </row>
    <row r="13" spans="1:21" x14ac:dyDescent="0.3">
      <c r="A13" t="s">
        <v>63</v>
      </c>
      <c r="B13">
        <v>71179010</v>
      </c>
      <c r="C13">
        <v>3</v>
      </c>
      <c r="D13">
        <v>1</v>
      </c>
      <c r="E13">
        <f t="shared" si="0"/>
        <v>816</v>
      </c>
      <c r="F13">
        <v>792.23</v>
      </c>
      <c r="G13">
        <f t="shared" si="1"/>
        <v>23.77</v>
      </c>
      <c r="H13">
        <v>0</v>
      </c>
      <c r="I13">
        <v>0</v>
      </c>
    </row>
    <row r="14" spans="1:21" x14ac:dyDescent="0.3">
      <c r="A14" t="s">
        <v>53</v>
      </c>
      <c r="B14">
        <v>9615</v>
      </c>
      <c r="C14">
        <v>12</v>
      </c>
      <c r="D14">
        <v>1</v>
      </c>
      <c r="E14">
        <f t="shared" si="0"/>
        <v>294.32000000000005</v>
      </c>
      <c r="F14">
        <v>262.79000000000002</v>
      </c>
      <c r="G14">
        <f t="shared" si="1"/>
        <v>31.53</v>
      </c>
      <c r="H14">
        <v>0</v>
      </c>
      <c r="I14">
        <v>0</v>
      </c>
    </row>
    <row r="15" spans="1:21" x14ac:dyDescent="0.3">
      <c r="A15" t="s">
        <v>59</v>
      </c>
      <c r="B15">
        <v>9615</v>
      </c>
      <c r="C15">
        <v>12</v>
      </c>
      <c r="D15">
        <v>1</v>
      </c>
      <c r="E15">
        <f t="shared" si="0"/>
        <v>222</v>
      </c>
      <c r="F15">
        <v>198.21</v>
      </c>
      <c r="G15">
        <f t="shared" si="1"/>
        <v>23.79</v>
      </c>
      <c r="H15">
        <v>0</v>
      </c>
      <c r="I15">
        <v>0</v>
      </c>
    </row>
    <row r="16" spans="1:21" x14ac:dyDescent="0.3">
      <c r="A16" t="s">
        <v>59</v>
      </c>
      <c r="B16">
        <v>71179010</v>
      </c>
      <c r="C16">
        <v>3</v>
      </c>
      <c r="D16">
        <v>1</v>
      </c>
      <c r="E16">
        <f t="shared" si="0"/>
        <v>243</v>
      </c>
      <c r="F16">
        <v>235.92</v>
      </c>
      <c r="G16">
        <f t="shared" si="1"/>
        <v>7.08</v>
      </c>
      <c r="H16">
        <v>0</v>
      </c>
      <c r="I16">
        <v>0</v>
      </c>
    </row>
    <row r="17" spans="1:9" x14ac:dyDescent="0.3">
      <c r="A17" t="s">
        <v>86</v>
      </c>
      <c r="B17">
        <v>71179010</v>
      </c>
      <c r="C17">
        <v>3</v>
      </c>
      <c r="D17">
        <v>1</v>
      </c>
      <c r="E17">
        <f t="shared" si="0"/>
        <v>329</v>
      </c>
      <c r="F17">
        <v>319.42</v>
      </c>
      <c r="G17">
        <f t="shared" si="1"/>
        <v>9.58</v>
      </c>
      <c r="H17">
        <v>0</v>
      </c>
      <c r="I17">
        <v>0</v>
      </c>
    </row>
    <row r="18" spans="1:9" x14ac:dyDescent="0.3">
      <c r="A18" t="s">
        <v>63</v>
      </c>
      <c r="B18">
        <v>71179010</v>
      </c>
      <c r="C18">
        <v>3</v>
      </c>
      <c r="D18">
        <v>1</v>
      </c>
      <c r="E18">
        <f t="shared" si="0"/>
        <v>340.1</v>
      </c>
      <c r="F18">
        <v>330.19</v>
      </c>
      <c r="G18">
        <f t="shared" si="1"/>
        <v>9.91</v>
      </c>
      <c r="H18">
        <v>0</v>
      </c>
      <c r="I18">
        <v>0</v>
      </c>
    </row>
    <row r="19" spans="1:9" x14ac:dyDescent="0.3">
      <c r="A19" t="s">
        <v>59</v>
      </c>
      <c r="B19">
        <v>9615</v>
      </c>
      <c r="C19">
        <v>12</v>
      </c>
      <c r="D19">
        <v>1</v>
      </c>
      <c r="E19">
        <f t="shared" si="0"/>
        <v>222</v>
      </c>
      <c r="F19">
        <v>198.21</v>
      </c>
      <c r="G19">
        <f t="shared" si="1"/>
        <v>23.79</v>
      </c>
      <c r="H19">
        <v>0</v>
      </c>
      <c r="I19">
        <v>0</v>
      </c>
    </row>
    <row r="20" spans="1:9" x14ac:dyDescent="0.3">
      <c r="A20" t="s">
        <v>59</v>
      </c>
      <c r="B20">
        <v>71179010</v>
      </c>
      <c r="C20">
        <v>3</v>
      </c>
      <c r="D20">
        <v>1</v>
      </c>
      <c r="E20">
        <f t="shared" si="0"/>
        <v>299</v>
      </c>
      <c r="F20">
        <v>290.29000000000002</v>
      </c>
      <c r="G20">
        <f t="shared" si="1"/>
        <v>8.7100000000000009</v>
      </c>
      <c r="H20">
        <v>0</v>
      </c>
      <c r="I20">
        <v>0</v>
      </c>
    </row>
    <row r="21" spans="1:9" x14ac:dyDescent="0.3">
      <c r="A21" t="s">
        <v>59</v>
      </c>
      <c r="B21">
        <v>71179010</v>
      </c>
      <c r="C21">
        <v>3</v>
      </c>
      <c r="D21">
        <v>1</v>
      </c>
      <c r="E21">
        <f t="shared" si="0"/>
        <v>250</v>
      </c>
      <c r="F21">
        <v>242.72</v>
      </c>
      <c r="G21">
        <f t="shared" si="1"/>
        <v>7.28</v>
      </c>
      <c r="H21">
        <v>0</v>
      </c>
      <c r="I21">
        <v>0</v>
      </c>
    </row>
    <row r="22" spans="1:9" x14ac:dyDescent="0.3">
      <c r="A22" t="s">
        <v>59</v>
      </c>
      <c r="B22">
        <v>71179010</v>
      </c>
      <c r="C22">
        <v>3</v>
      </c>
      <c r="D22">
        <v>1</v>
      </c>
      <c r="E22">
        <f t="shared" si="0"/>
        <v>245</v>
      </c>
      <c r="F22">
        <v>237.86</v>
      </c>
      <c r="G22">
        <f t="shared" si="1"/>
        <v>7.14</v>
      </c>
      <c r="H22">
        <v>0</v>
      </c>
      <c r="I22">
        <v>0</v>
      </c>
    </row>
    <row r="23" spans="1:9" x14ac:dyDescent="0.3">
      <c r="A23" t="s">
        <v>59</v>
      </c>
      <c r="B23">
        <v>71179010</v>
      </c>
      <c r="C23">
        <v>3</v>
      </c>
      <c r="D23">
        <v>1</v>
      </c>
      <c r="E23">
        <f t="shared" si="0"/>
        <v>237</v>
      </c>
      <c r="F23">
        <v>230.1</v>
      </c>
      <c r="G23">
        <f t="shared" si="1"/>
        <v>6.9</v>
      </c>
      <c r="H23">
        <v>0</v>
      </c>
      <c r="I23">
        <v>0</v>
      </c>
    </row>
    <row r="24" spans="1:9" x14ac:dyDescent="0.3">
      <c r="A24" t="s">
        <v>86</v>
      </c>
      <c r="B24">
        <v>71179010</v>
      </c>
      <c r="C24">
        <v>3</v>
      </c>
      <c r="D24">
        <v>1</v>
      </c>
      <c r="E24">
        <f t="shared" si="0"/>
        <v>379</v>
      </c>
      <c r="F24">
        <v>367.96</v>
      </c>
      <c r="G24">
        <f t="shared" si="1"/>
        <v>11.04</v>
      </c>
      <c r="H24">
        <v>0</v>
      </c>
      <c r="I24">
        <v>0</v>
      </c>
    </row>
    <row r="25" spans="1:9" x14ac:dyDescent="0.3">
      <c r="A25" t="s">
        <v>105</v>
      </c>
      <c r="B25">
        <v>71179010</v>
      </c>
      <c r="C25">
        <v>3</v>
      </c>
      <c r="D25">
        <v>1</v>
      </c>
      <c r="E25">
        <f t="shared" si="0"/>
        <v>299.00000000000006</v>
      </c>
      <c r="F25">
        <v>290.3</v>
      </c>
      <c r="H25">
        <f>ROUND(F25*C25%/2,2)</f>
        <v>4.3499999999999996</v>
      </c>
      <c r="I25">
        <v>4.3499999999999996</v>
      </c>
    </row>
    <row r="26" spans="1:9" x14ac:dyDescent="0.3">
      <c r="A26" t="s">
        <v>63</v>
      </c>
      <c r="B26">
        <v>71179010</v>
      </c>
      <c r="C26">
        <v>3</v>
      </c>
      <c r="D26">
        <v>1</v>
      </c>
      <c r="E26">
        <f t="shared" si="0"/>
        <v>798</v>
      </c>
      <c r="F26">
        <v>774.76</v>
      </c>
      <c r="G26">
        <f t="shared" ref="G26:G80" si="2">ROUND(F26*C26%,2)</f>
        <v>23.24</v>
      </c>
      <c r="H26">
        <v>0</v>
      </c>
      <c r="I26">
        <v>0</v>
      </c>
    </row>
    <row r="27" spans="1:9" x14ac:dyDescent="0.3">
      <c r="A27" t="s">
        <v>59</v>
      </c>
      <c r="B27">
        <v>71179010</v>
      </c>
      <c r="C27">
        <v>3</v>
      </c>
      <c r="D27">
        <v>1</v>
      </c>
      <c r="E27">
        <f t="shared" si="0"/>
        <v>278</v>
      </c>
      <c r="F27">
        <v>269.89999999999998</v>
      </c>
      <c r="G27">
        <f t="shared" si="2"/>
        <v>8.1</v>
      </c>
      <c r="H27">
        <v>0</v>
      </c>
      <c r="I27">
        <v>0</v>
      </c>
    </row>
    <row r="28" spans="1:9" x14ac:dyDescent="0.3">
      <c r="A28" t="s">
        <v>110</v>
      </c>
      <c r="B28">
        <v>71179010</v>
      </c>
      <c r="C28">
        <v>3</v>
      </c>
      <c r="D28">
        <v>1</v>
      </c>
      <c r="E28">
        <f t="shared" si="0"/>
        <v>80</v>
      </c>
      <c r="F28">
        <v>77.67</v>
      </c>
      <c r="G28">
        <f t="shared" si="2"/>
        <v>2.33</v>
      </c>
      <c r="H28">
        <v>0</v>
      </c>
      <c r="I28">
        <v>0</v>
      </c>
    </row>
    <row r="29" spans="1:9" x14ac:dyDescent="0.3">
      <c r="A29" t="s">
        <v>59</v>
      </c>
      <c r="B29">
        <v>71179010</v>
      </c>
      <c r="C29">
        <v>3</v>
      </c>
      <c r="D29">
        <v>1</v>
      </c>
      <c r="E29">
        <f t="shared" si="0"/>
        <v>917</v>
      </c>
      <c r="F29">
        <v>890.29</v>
      </c>
      <c r="G29">
        <f t="shared" si="2"/>
        <v>26.71</v>
      </c>
      <c r="H29">
        <v>0</v>
      </c>
      <c r="I29">
        <v>0</v>
      </c>
    </row>
    <row r="30" spans="1:9" x14ac:dyDescent="0.3">
      <c r="A30" t="s">
        <v>59</v>
      </c>
      <c r="B30">
        <v>71179010</v>
      </c>
      <c r="C30">
        <v>3</v>
      </c>
      <c r="D30">
        <v>1</v>
      </c>
      <c r="E30">
        <f t="shared" si="0"/>
        <v>499</v>
      </c>
      <c r="F30">
        <v>484.47</v>
      </c>
      <c r="G30">
        <f t="shared" si="2"/>
        <v>14.53</v>
      </c>
      <c r="H30">
        <v>0</v>
      </c>
      <c r="I30">
        <v>0</v>
      </c>
    </row>
    <row r="31" spans="1:9" x14ac:dyDescent="0.3">
      <c r="A31" t="s">
        <v>59</v>
      </c>
      <c r="B31">
        <v>71179010</v>
      </c>
      <c r="C31">
        <v>3</v>
      </c>
      <c r="D31">
        <v>1</v>
      </c>
      <c r="E31">
        <f t="shared" si="0"/>
        <v>515</v>
      </c>
      <c r="F31">
        <v>500</v>
      </c>
      <c r="G31">
        <f t="shared" si="2"/>
        <v>15</v>
      </c>
      <c r="H31">
        <v>0</v>
      </c>
      <c r="I31">
        <v>0</v>
      </c>
    </row>
    <row r="32" spans="1:9" x14ac:dyDescent="0.3">
      <c r="A32" t="s">
        <v>59</v>
      </c>
      <c r="B32">
        <v>71179010</v>
      </c>
      <c r="C32">
        <v>3</v>
      </c>
      <c r="D32">
        <v>1</v>
      </c>
      <c r="E32">
        <f t="shared" si="0"/>
        <v>207</v>
      </c>
      <c r="F32">
        <v>200.97</v>
      </c>
      <c r="G32">
        <f t="shared" si="2"/>
        <v>6.03</v>
      </c>
      <c r="H32">
        <v>0</v>
      </c>
      <c r="I32">
        <v>0</v>
      </c>
    </row>
    <row r="33" spans="1:9" x14ac:dyDescent="0.3">
      <c r="A33" t="s">
        <v>110</v>
      </c>
      <c r="B33">
        <v>71179010</v>
      </c>
      <c r="C33">
        <v>3</v>
      </c>
      <c r="D33">
        <v>1</v>
      </c>
      <c r="E33">
        <f t="shared" si="0"/>
        <v>537.99999999999989</v>
      </c>
      <c r="F33">
        <v>522.32999999999993</v>
      </c>
      <c r="G33">
        <f t="shared" si="2"/>
        <v>15.67</v>
      </c>
      <c r="H33">
        <v>0</v>
      </c>
      <c r="I33">
        <v>0</v>
      </c>
    </row>
    <row r="34" spans="1:9" x14ac:dyDescent="0.3">
      <c r="A34" t="s">
        <v>59</v>
      </c>
      <c r="B34">
        <v>71179010</v>
      </c>
      <c r="C34">
        <v>3</v>
      </c>
      <c r="D34">
        <v>1</v>
      </c>
      <c r="E34">
        <f t="shared" si="0"/>
        <v>281.39999999999998</v>
      </c>
      <c r="F34">
        <v>273.2</v>
      </c>
      <c r="G34">
        <f t="shared" si="2"/>
        <v>8.1999999999999993</v>
      </c>
      <c r="H34">
        <v>0</v>
      </c>
      <c r="I34">
        <v>0</v>
      </c>
    </row>
    <row r="35" spans="1:9" x14ac:dyDescent="0.3">
      <c r="A35" t="s">
        <v>59</v>
      </c>
      <c r="B35">
        <v>71179010</v>
      </c>
      <c r="C35">
        <v>3</v>
      </c>
      <c r="D35">
        <v>1</v>
      </c>
      <c r="E35">
        <f t="shared" si="0"/>
        <v>319.82</v>
      </c>
      <c r="F35">
        <v>310.5</v>
      </c>
      <c r="G35">
        <f t="shared" si="2"/>
        <v>9.32</v>
      </c>
      <c r="H35">
        <v>0</v>
      </c>
      <c r="I35">
        <v>0</v>
      </c>
    </row>
    <row r="36" spans="1:9" x14ac:dyDescent="0.3">
      <c r="A36" t="s">
        <v>59</v>
      </c>
      <c r="B36">
        <v>71179010</v>
      </c>
      <c r="C36">
        <v>3</v>
      </c>
      <c r="D36">
        <v>1</v>
      </c>
      <c r="E36">
        <f t="shared" si="0"/>
        <v>1145</v>
      </c>
      <c r="F36">
        <v>1111.6500000000001</v>
      </c>
      <c r="G36">
        <f t="shared" si="2"/>
        <v>33.35</v>
      </c>
      <c r="H36">
        <v>0</v>
      </c>
      <c r="I36">
        <v>0</v>
      </c>
    </row>
    <row r="37" spans="1:9" x14ac:dyDescent="0.3">
      <c r="A37" t="s">
        <v>110</v>
      </c>
      <c r="B37">
        <v>71179010</v>
      </c>
      <c r="C37">
        <v>3</v>
      </c>
      <c r="D37">
        <v>1</v>
      </c>
      <c r="E37">
        <f t="shared" si="0"/>
        <v>537.99999999999989</v>
      </c>
      <c r="F37">
        <v>522.32999999999993</v>
      </c>
      <c r="G37">
        <f t="shared" si="2"/>
        <v>15.67</v>
      </c>
      <c r="H37">
        <v>0</v>
      </c>
      <c r="I37">
        <v>0</v>
      </c>
    </row>
    <row r="38" spans="1:9" x14ac:dyDescent="0.3">
      <c r="A38" t="s">
        <v>59</v>
      </c>
      <c r="B38">
        <v>71179010</v>
      </c>
      <c r="C38">
        <v>3</v>
      </c>
      <c r="D38">
        <v>1</v>
      </c>
      <c r="E38">
        <f t="shared" si="0"/>
        <v>207</v>
      </c>
      <c r="F38">
        <v>200.97</v>
      </c>
      <c r="G38">
        <f t="shared" si="2"/>
        <v>6.03</v>
      </c>
      <c r="H38">
        <v>0</v>
      </c>
      <c r="I38">
        <v>0</v>
      </c>
    </row>
    <row r="39" spans="1:9" x14ac:dyDescent="0.3">
      <c r="A39" t="s">
        <v>53</v>
      </c>
      <c r="B39">
        <v>71179010</v>
      </c>
      <c r="C39">
        <v>3</v>
      </c>
      <c r="D39">
        <v>1</v>
      </c>
      <c r="E39">
        <f t="shared" si="0"/>
        <v>2757.31</v>
      </c>
      <c r="F39">
        <v>2677</v>
      </c>
      <c r="G39">
        <f t="shared" si="2"/>
        <v>80.31</v>
      </c>
      <c r="H39">
        <v>0</v>
      </c>
      <c r="I39">
        <v>0</v>
      </c>
    </row>
    <row r="40" spans="1:9" x14ac:dyDescent="0.3">
      <c r="A40" t="s">
        <v>59</v>
      </c>
      <c r="B40">
        <v>71179010</v>
      </c>
      <c r="C40">
        <v>3</v>
      </c>
      <c r="D40">
        <v>1</v>
      </c>
      <c r="E40">
        <f t="shared" si="0"/>
        <v>167</v>
      </c>
      <c r="F40">
        <v>162.13999999999999</v>
      </c>
      <c r="G40">
        <f t="shared" si="2"/>
        <v>4.8600000000000003</v>
      </c>
      <c r="H40">
        <v>0</v>
      </c>
      <c r="I40">
        <v>0</v>
      </c>
    </row>
    <row r="41" spans="1:9" x14ac:dyDescent="0.3">
      <c r="A41" t="s">
        <v>110</v>
      </c>
      <c r="B41">
        <v>71179010</v>
      </c>
      <c r="C41">
        <v>3</v>
      </c>
      <c r="D41">
        <v>1</v>
      </c>
      <c r="E41">
        <f t="shared" si="0"/>
        <v>798</v>
      </c>
      <c r="F41">
        <v>774.76</v>
      </c>
      <c r="G41">
        <f t="shared" si="2"/>
        <v>23.24</v>
      </c>
      <c r="H41">
        <v>0</v>
      </c>
      <c r="I41">
        <v>0</v>
      </c>
    </row>
    <row r="42" spans="1:9" x14ac:dyDescent="0.3">
      <c r="A42" t="s">
        <v>59</v>
      </c>
      <c r="B42">
        <v>71179010</v>
      </c>
      <c r="C42">
        <v>3</v>
      </c>
      <c r="D42">
        <v>1</v>
      </c>
      <c r="E42">
        <f t="shared" si="0"/>
        <v>167</v>
      </c>
      <c r="F42">
        <v>162.13999999999999</v>
      </c>
      <c r="G42">
        <f t="shared" si="2"/>
        <v>4.8600000000000003</v>
      </c>
      <c r="H42">
        <v>0</v>
      </c>
      <c r="I42">
        <v>0</v>
      </c>
    </row>
    <row r="43" spans="1:9" x14ac:dyDescent="0.3">
      <c r="A43" t="s">
        <v>59</v>
      </c>
      <c r="B43">
        <v>71179010</v>
      </c>
      <c r="C43">
        <v>3</v>
      </c>
      <c r="D43">
        <v>1</v>
      </c>
      <c r="E43">
        <f t="shared" si="0"/>
        <v>443.99</v>
      </c>
      <c r="F43">
        <v>431.06</v>
      </c>
      <c r="G43">
        <f t="shared" si="2"/>
        <v>12.93</v>
      </c>
      <c r="H43">
        <v>0</v>
      </c>
      <c r="I43">
        <v>0</v>
      </c>
    </row>
    <row r="44" spans="1:9" x14ac:dyDescent="0.3">
      <c r="A44" t="s">
        <v>59</v>
      </c>
      <c r="B44">
        <v>71179010</v>
      </c>
      <c r="C44">
        <v>3</v>
      </c>
      <c r="D44">
        <v>1</v>
      </c>
      <c r="E44">
        <f t="shared" si="0"/>
        <v>161</v>
      </c>
      <c r="F44">
        <v>156.31</v>
      </c>
      <c r="G44">
        <f t="shared" si="2"/>
        <v>4.6900000000000004</v>
      </c>
      <c r="H44">
        <v>0</v>
      </c>
      <c r="I44">
        <v>0</v>
      </c>
    </row>
    <row r="45" spans="1:9" x14ac:dyDescent="0.3">
      <c r="A45" t="s">
        <v>59</v>
      </c>
      <c r="B45">
        <v>71179010</v>
      </c>
      <c r="C45">
        <v>3</v>
      </c>
      <c r="D45">
        <v>1</v>
      </c>
      <c r="E45">
        <f t="shared" si="0"/>
        <v>245.99</v>
      </c>
      <c r="F45">
        <v>238.83</v>
      </c>
      <c r="G45">
        <f t="shared" si="2"/>
        <v>7.16</v>
      </c>
      <c r="H45">
        <v>0</v>
      </c>
      <c r="I45">
        <v>0</v>
      </c>
    </row>
    <row r="46" spans="1:9" x14ac:dyDescent="0.3">
      <c r="A46" t="s">
        <v>59</v>
      </c>
      <c r="B46">
        <v>71179010</v>
      </c>
      <c r="C46">
        <v>3</v>
      </c>
      <c r="D46">
        <v>1</v>
      </c>
      <c r="E46">
        <f t="shared" si="0"/>
        <v>599</v>
      </c>
      <c r="F46">
        <v>581.54999999999995</v>
      </c>
      <c r="G46">
        <f t="shared" si="2"/>
        <v>17.45</v>
      </c>
      <c r="H46">
        <v>0</v>
      </c>
      <c r="I46">
        <v>0</v>
      </c>
    </row>
    <row r="47" spans="1:9" x14ac:dyDescent="0.3">
      <c r="A47" t="s">
        <v>59</v>
      </c>
      <c r="B47">
        <v>71179010</v>
      </c>
      <c r="C47">
        <v>3</v>
      </c>
      <c r="D47">
        <v>1</v>
      </c>
      <c r="E47">
        <f t="shared" si="0"/>
        <v>245.99</v>
      </c>
      <c r="F47">
        <v>238.83</v>
      </c>
      <c r="G47">
        <f t="shared" si="2"/>
        <v>7.16</v>
      </c>
      <c r="H47">
        <v>0</v>
      </c>
      <c r="I47">
        <v>0</v>
      </c>
    </row>
    <row r="48" spans="1:9" x14ac:dyDescent="0.3">
      <c r="A48" t="s">
        <v>59</v>
      </c>
      <c r="B48">
        <v>9615</v>
      </c>
      <c r="C48">
        <v>12</v>
      </c>
      <c r="D48">
        <v>1</v>
      </c>
      <c r="E48">
        <f t="shared" si="0"/>
        <v>239</v>
      </c>
      <c r="F48">
        <v>213.39</v>
      </c>
      <c r="G48">
        <f t="shared" si="2"/>
        <v>25.61</v>
      </c>
      <c r="H48">
        <v>0</v>
      </c>
      <c r="I48">
        <v>0</v>
      </c>
    </row>
    <row r="49" spans="1:9" x14ac:dyDescent="0.3">
      <c r="A49" t="s">
        <v>59</v>
      </c>
      <c r="B49">
        <v>71179010</v>
      </c>
      <c r="C49">
        <v>3</v>
      </c>
      <c r="D49">
        <v>1</v>
      </c>
      <c r="E49">
        <f t="shared" si="0"/>
        <v>671</v>
      </c>
      <c r="F49">
        <v>651.46</v>
      </c>
      <c r="G49">
        <f t="shared" si="2"/>
        <v>19.54</v>
      </c>
      <c r="H49">
        <v>0</v>
      </c>
      <c r="I49">
        <v>0</v>
      </c>
    </row>
    <row r="50" spans="1:9" x14ac:dyDescent="0.3">
      <c r="A50" t="s">
        <v>59</v>
      </c>
      <c r="B50">
        <v>71179010</v>
      </c>
      <c r="C50">
        <v>3</v>
      </c>
      <c r="D50">
        <v>1</v>
      </c>
      <c r="E50">
        <f t="shared" si="0"/>
        <v>207</v>
      </c>
      <c r="F50">
        <v>200.97</v>
      </c>
      <c r="G50">
        <f t="shared" si="2"/>
        <v>6.03</v>
      </c>
      <c r="H50">
        <v>0</v>
      </c>
      <c r="I50">
        <v>0</v>
      </c>
    </row>
    <row r="51" spans="1:9" x14ac:dyDescent="0.3">
      <c r="A51" t="s">
        <v>63</v>
      </c>
      <c r="B51">
        <v>71179010</v>
      </c>
      <c r="C51">
        <v>3</v>
      </c>
      <c r="D51">
        <v>1</v>
      </c>
      <c r="E51">
        <f t="shared" si="0"/>
        <v>299</v>
      </c>
      <c r="F51">
        <v>290.29000000000002</v>
      </c>
      <c r="G51">
        <f t="shared" si="2"/>
        <v>8.7100000000000009</v>
      </c>
      <c r="H51">
        <v>0</v>
      </c>
      <c r="I51">
        <v>0</v>
      </c>
    </row>
    <row r="52" spans="1:9" x14ac:dyDescent="0.3">
      <c r="A52" t="s">
        <v>63</v>
      </c>
      <c r="B52">
        <v>71179010</v>
      </c>
      <c r="C52">
        <v>3</v>
      </c>
      <c r="D52">
        <v>1</v>
      </c>
      <c r="E52">
        <f t="shared" si="0"/>
        <v>1747</v>
      </c>
      <c r="F52">
        <v>1696.12</v>
      </c>
      <c r="G52">
        <f t="shared" si="2"/>
        <v>50.88</v>
      </c>
      <c r="H52">
        <v>0</v>
      </c>
      <c r="I52">
        <v>0</v>
      </c>
    </row>
    <row r="53" spans="1:9" x14ac:dyDescent="0.3">
      <c r="A53" t="s">
        <v>110</v>
      </c>
      <c r="B53">
        <v>71179010</v>
      </c>
      <c r="C53">
        <v>3</v>
      </c>
      <c r="D53">
        <v>1</v>
      </c>
      <c r="E53">
        <f t="shared" si="0"/>
        <v>659</v>
      </c>
      <c r="F53">
        <v>639.80999999999995</v>
      </c>
      <c r="G53">
        <f t="shared" si="2"/>
        <v>19.190000000000001</v>
      </c>
      <c r="H53">
        <v>0</v>
      </c>
      <c r="I53">
        <v>0</v>
      </c>
    </row>
    <row r="54" spans="1:9" x14ac:dyDescent="0.3">
      <c r="A54" t="s">
        <v>53</v>
      </c>
      <c r="B54">
        <v>71179010</v>
      </c>
      <c r="C54">
        <v>3</v>
      </c>
      <c r="D54">
        <v>1</v>
      </c>
      <c r="E54">
        <f t="shared" si="0"/>
        <v>5047.63</v>
      </c>
      <c r="F54">
        <v>4900.6099999999997</v>
      </c>
      <c r="G54">
        <f t="shared" si="2"/>
        <v>147.02000000000001</v>
      </c>
      <c r="H54">
        <v>0</v>
      </c>
      <c r="I54">
        <v>0</v>
      </c>
    </row>
    <row r="55" spans="1:9" x14ac:dyDescent="0.3">
      <c r="A55" t="s">
        <v>59</v>
      </c>
      <c r="B55">
        <v>71179010</v>
      </c>
      <c r="C55">
        <v>3</v>
      </c>
      <c r="D55">
        <v>1</v>
      </c>
      <c r="E55">
        <f t="shared" si="0"/>
        <v>359</v>
      </c>
      <c r="F55">
        <v>348.54</v>
      </c>
      <c r="G55">
        <f t="shared" si="2"/>
        <v>10.46</v>
      </c>
      <c r="H55">
        <v>0</v>
      </c>
      <c r="I55">
        <v>0</v>
      </c>
    </row>
    <row r="56" spans="1:9" x14ac:dyDescent="0.3">
      <c r="A56" t="s">
        <v>110</v>
      </c>
      <c r="B56">
        <v>71179010</v>
      </c>
      <c r="C56">
        <v>3</v>
      </c>
      <c r="D56">
        <v>1</v>
      </c>
      <c r="E56">
        <f t="shared" si="0"/>
        <v>749.0100000000001</v>
      </c>
      <c r="F56">
        <v>727.19</v>
      </c>
      <c r="G56">
        <f t="shared" si="2"/>
        <v>21.82</v>
      </c>
      <c r="H56">
        <v>0</v>
      </c>
      <c r="I56">
        <v>0</v>
      </c>
    </row>
    <row r="57" spans="1:9" x14ac:dyDescent="0.3">
      <c r="A57" t="s">
        <v>59</v>
      </c>
      <c r="B57">
        <v>71179010</v>
      </c>
      <c r="C57">
        <v>3</v>
      </c>
      <c r="D57">
        <v>1</v>
      </c>
      <c r="E57">
        <f t="shared" si="0"/>
        <v>245.99</v>
      </c>
      <c r="F57">
        <v>238.83</v>
      </c>
      <c r="G57">
        <f t="shared" si="2"/>
        <v>7.16</v>
      </c>
      <c r="H57">
        <v>0</v>
      </c>
      <c r="I57">
        <v>0</v>
      </c>
    </row>
    <row r="58" spans="1:9" x14ac:dyDescent="0.3">
      <c r="A58" t="s">
        <v>59</v>
      </c>
      <c r="B58">
        <v>71179010</v>
      </c>
      <c r="C58">
        <v>3</v>
      </c>
      <c r="D58">
        <v>1</v>
      </c>
      <c r="E58">
        <f t="shared" si="0"/>
        <v>359</v>
      </c>
      <c r="F58">
        <v>348.54</v>
      </c>
      <c r="G58">
        <f t="shared" si="2"/>
        <v>10.46</v>
      </c>
      <c r="H58">
        <v>0</v>
      </c>
      <c r="I58">
        <v>0</v>
      </c>
    </row>
    <row r="59" spans="1:9" x14ac:dyDescent="0.3">
      <c r="A59" t="s">
        <v>59</v>
      </c>
      <c r="B59">
        <v>71179010</v>
      </c>
      <c r="C59">
        <v>3</v>
      </c>
      <c r="D59">
        <v>1</v>
      </c>
      <c r="E59">
        <f t="shared" si="0"/>
        <v>214</v>
      </c>
      <c r="F59">
        <v>207.77</v>
      </c>
      <c r="G59">
        <f t="shared" si="2"/>
        <v>6.23</v>
      </c>
      <c r="H59">
        <v>0</v>
      </c>
      <c r="I59">
        <v>0</v>
      </c>
    </row>
    <row r="60" spans="1:9" x14ac:dyDescent="0.3">
      <c r="A60" t="s">
        <v>59</v>
      </c>
      <c r="B60">
        <v>71179010</v>
      </c>
      <c r="C60">
        <v>3</v>
      </c>
      <c r="D60">
        <v>1</v>
      </c>
      <c r="E60">
        <f t="shared" si="0"/>
        <v>278</v>
      </c>
      <c r="F60">
        <v>269.89999999999998</v>
      </c>
      <c r="G60">
        <f t="shared" si="2"/>
        <v>8.1</v>
      </c>
      <c r="H60">
        <v>0</v>
      </c>
      <c r="I60">
        <v>0</v>
      </c>
    </row>
    <row r="61" spans="1:9" x14ac:dyDescent="0.3">
      <c r="A61" t="s">
        <v>110</v>
      </c>
      <c r="B61">
        <v>71179010</v>
      </c>
      <c r="C61">
        <v>3</v>
      </c>
      <c r="D61">
        <v>1</v>
      </c>
      <c r="E61">
        <f t="shared" si="0"/>
        <v>334.01</v>
      </c>
      <c r="F61">
        <v>324.27999999999997</v>
      </c>
      <c r="G61">
        <f t="shared" si="2"/>
        <v>9.73</v>
      </c>
      <c r="H61">
        <v>0</v>
      </c>
      <c r="I61">
        <v>0</v>
      </c>
    </row>
    <row r="62" spans="1:9" x14ac:dyDescent="0.3">
      <c r="A62" t="s">
        <v>59</v>
      </c>
      <c r="B62">
        <v>71179010</v>
      </c>
      <c r="C62">
        <v>3</v>
      </c>
      <c r="D62">
        <v>1</v>
      </c>
      <c r="E62">
        <f t="shared" si="0"/>
        <v>260</v>
      </c>
      <c r="F62">
        <v>252.43</v>
      </c>
      <c r="G62">
        <f t="shared" si="2"/>
        <v>7.57</v>
      </c>
      <c r="H62">
        <v>0</v>
      </c>
      <c r="I62">
        <v>0</v>
      </c>
    </row>
    <row r="63" spans="1:9" x14ac:dyDescent="0.3">
      <c r="A63" t="s">
        <v>59</v>
      </c>
      <c r="B63">
        <v>71179010</v>
      </c>
      <c r="C63">
        <v>3</v>
      </c>
      <c r="D63">
        <v>1</v>
      </c>
      <c r="E63">
        <f t="shared" si="0"/>
        <v>281.39999999999998</v>
      </c>
      <c r="F63">
        <v>273.2</v>
      </c>
      <c r="G63">
        <f t="shared" si="2"/>
        <v>8.1999999999999993</v>
      </c>
      <c r="H63">
        <v>0</v>
      </c>
      <c r="I63">
        <v>0</v>
      </c>
    </row>
    <row r="64" spans="1:9" x14ac:dyDescent="0.3">
      <c r="A64" t="s">
        <v>63</v>
      </c>
      <c r="B64">
        <v>71179010</v>
      </c>
      <c r="C64">
        <v>3</v>
      </c>
      <c r="D64">
        <v>1</v>
      </c>
      <c r="E64">
        <f t="shared" si="0"/>
        <v>353</v>
      </c>
      <c r="F64">
        <v>342.72</v>
      </c>
      <c r="G64">
        <f t="shared" si="2"/>
        <v>10.28</v>
      </c>
      <c r="H64">
        <v>0</v>
      </c>
      <c r="I64">
        <v>0</v>
      </c>
    </row>
    <row r="65" spans="1:9" x14ac:dyDescent="0.3">
      <c r="A65" t="s">
        <v>59</v>
      </c>
      <c r="B65">
        <v>71179010</v>
      </c>
      <c r="C65">
        <v>3</v>
      </c>
      <c r="D65">
        <v>1</v>
      </c>
      <c r="E65">
        <f t="shared" si="0"/>
        <v>207</v>
      </c>
      <c r="F65">
        <v>200.97</v>
      </c>
      <c r="G65">
        <f t="shared" si="2"/>
        <v>6.03</v>
      </c>
      <c r="H65">
        <v>0</v>
      </c>
      <c r="I65">
        <v>0</v>
      </c>
    </row>
    <row r="66" spans="1:9" x14ac:dyDescent="0.3">
      <c r="A66" t="s">
        <v>59</v>
      </c>
      <c r="B66">
        <v>71179010</v>
      </c>
      <c r="C66">
        <v>3</v>
      </c>
      <c r="D66">
        <v>1</v>
      </c>
      <c r="E66">
        <f t="shared" si="0"/>
        <v>174</v>
      </c>
      <c r="F66">
        <v>168.93</v>
      </c>
      <c r="G66">
        <f t="shared" si="2"/>
        <v>5.07</v>
      </c>
      <c r="H66">
        <v>0</v>
      </c>
      <c r="I66">
        <v>0</v>
      </c>
    </row>
    <row r="67" spans="1:9" x14ac:dyDescent="0.3">
      <c r="A67" t="s">
        <v>59</v>
      </c>
      <c r="B67">
        <v>71179010</v>
      </c>
      <c r="C67">
        <v>3</v>
      </c>
      <c r="D67">
        <v>1</v>
      </c>
      <c r="E67">
        <f t="shared" ref="E67:E80" si="3">SUM(F67:I67)</f>
        <v>299</v>
      </c>
      <c r="F67">
        <v>290.29000000000002</v>
      </c>
      <c r="G67">
        <f t="shared" si="2"/>
        <v>8.7100000000000009</v>
      </c>
      <c r="H67">
        <v>0</v>
      </c>
      <c r="I67">
        <v>0</v>
      </c>
    </row>
    <row r="68" spans="1:9" x14ac:dyDescent="0.3">
      <c r="A68" t="s">
        <v>59</v>
      </c>
      <c r="B68">
        <v>71179010</v>
      </c>
      <c r="C68">
        <v>3</v>
      </c>
      <c r="D68">
        <v>1</v>
      </c>
      <c r="E68">
        <f t="shared" si="3"/>
        <v>243</v>
      </c>
      <c r="F68">
        <v>235.92</v>
      </c>
      <c r="G68">
        <f t="shared" si="2"/>
        <v>7.08</v>
      </c>
      <c r="H68">
        <v>0</v>
      </c>
      <c r="I68">
        <v>0</v>
      </c>
    </row>
    <row r="69" spans="1:9" x14ac:dyDescent="0.3">
      <c r="A69" t="s">
        <v>59</v>
      </c>
      <c r="B69">
        <v>71179010</v>
      </c>
      <c r="C69">
        <v>3</v>
      </c>
      <c r="D69">
        <v>1</v>
      </c>
      <c r="E69">
        <f t="shared" si="3"/>
        <v>371</v>
      </c>
      <c r="F69">
        <v>360.19</v>
      </c>
      <c r="G69">
        <f t="shared" si="2"/>
        <v>10.81</v>
      </c>
      <c r="H69">
        <v>0</v>
      </c>
      <c r="I69">
        <v>0</v>
      </c>
    </row>
    <row r="70" spans="1:9" x14ac:dyDescent="0.3">
      <c r="A70" t="s">
        <v>59</v>
      </c>
      <c r="B70">
        <v>71179010</v>
      </c>
      <c r="C70">
        <v>3</v>
      </c>
      <c r="D70">
        <v>1</v>
      </c>
      <c r="E70">
        <f t="shared" si="3"/>
        <v>460</v>
      </c>
      <c r="F70">
        <v>446.6</v>
      </c>
      <c r="G70">
        <f t="shared" si="2"/>
        <v>13.4</v>
      </c>
      <c r="H70">
        <v>0</v>
      </c>
      <c r="I70">
        <v>0</v>
      </c>
    </row>
    <row r="71" spans="1:9" x14ac:dyDescent="0.3">
      <c r="A71" t="s">
        <v>59</v>
      </c>
      <c r="B71">
        <v>71179010</v>
      </c>
      <c r="C71">
        <v>3</v>
      </c>
      <c r="D71">
        <v>1</v>
      </c>
      <c r="E71">
        <f t="shared" si="3"/>
        <v>250</v>
      </c>
      <c r="F71">
        <v>242.72</v>
      </c>
      <c r="G71">
        <f t="shared" si="2"/>
        <v>7.28</v>
      </c>
      <c r="H71">
        <v>0</v>
      </c>
      <c r="I71">
        <v>0</v>
      </c>
    </row>
    <row r="72" spans="1:9" x14ac:dyDescent="0.3">
      <c r="A72" t="s">
        <v>59</v>
      </c>
      <c r="B72">
        <v>9615</v>
      </c>
      <c r="C72">
        <v>12</v>
      </c>
      <c r="D72">
        <v>1</v>
      </c>
      <c r="E72">
        <f t="shared" si="3"/>
        <v>179</v>
      </c>
      <c r="F72">
        <v>159.82</v>
      </c>
      <c r="G72">
        <f t="shared" si="2"/>
        <v>19.18</v>
      </c>
      <c r="H72">
        <v>0</v>
      </c>
      <c r="I72">
        <v>0</v>
      </c>
    </row>
    <row r="73" spans="1:9" x14ac:dyDescent="0.3">
      <c r="A73" t="s">
        <v>63</v>
      </c>
      <c r="B73">
        <v>71179010</v>
      </c>
      <c r="C73">
        <v>3</v>
      </c>
      <c r="D73">
        <v>1</v>
      </c>
      <c r="E73">
        <f t="shared" si="3"/>
        <v>299</v>
      </c>
      <c r="F73">
        <v>290.29000000000002</v>
      </c>
      <c r="G73">
        <f t="shared" si="2"/>
        <v>8.7100000000000009</v>
      </c>
      <c r="H73">
        <v>0</v>
      </c>
      <c r="I73">
        <v>0</v>
      </c>
    </row>
    <row r="74" spans="1:9" x14ac:dyDescent="0.3">
      <c r="A74" t="s">
        <v>59</v>
      </c>
      <c r="B74">
        <v>71179010</v>
      </c>
      <c r="C74">
        <v>3</v>
      </c>
      <c r="D74">
        <v>1</v>
      </c>
      <c r="E74">
        <f t="shared" si="3"/>
        <v>207</v>
      </c>
      <c r="F74">
        <v>200.97</v>
      </c>
      <c r="G74">
        <f t="shared" si="2"/>
        <v>6.03</v>
      </c>
      <c r="H74">
        <v>0</v>
      </c>
      <c r="I74">
        <v>0</v>
      </c>
    </row>
    <row r="75" spans="1:9" x14ac:dyDescent="0.3">
      <c r="A75" t="s">
        <v>59</v>
      </c>
      <c r="B75">
        <v>71179010</v>
      </c>
      <c r="C75">
        <v>3</v>
      </c>
      <c r="D75">
        <v>1</v>
      </c>
      <c r="E75">
        <f t="shared" si="3"/>
        <v>250</v>
      </c>
      <c r="F75">
        <v>242.72</v>
      </c>
      <c r="G75">
        <f t="shared" si="2"/>
        <v>7.28</v>
      </c>
      <c r="H75">
        <v>0</v>
      </c>
      <c r="I75">
        <v>0</v>
      </c>
    </row>
    <row r="76" spans="1:9" x14ac:dyDescent="0.3">
      <c r="A76" t="s">
        <v>59</v>
      </c>
      <c r="B76">
        <v>71179010</v>
      </c>
      <c r="C76">
        <v>3</v>
      </c>
      <c r="D76">
        <v>1</v>
      </c>
      <c r="E76">
        <f t="shared" si="3"/>
        <v>353</v>
      </c>
      <c r="F76">
        <v>342.72</v>
      </c>
      <c r="G76">
        <f t="shared" si="2"/>
        <v>10.28</v>
      </c>
      <c r="H76">
        <v>0</v>
      </c>
      <c r="I76">
        <v>0</v>
      </c>
    </row>
    <row r="77" spans="1:9" x14ac:dyDescent="0.3">
      <c r="A77" t="s">
        <v>59</v>
      </c>
      <c r="B77">
        <v>71179010</v>
      </c>
      <c r="C77">
        <v>3</v>
      </c>
      <c r="D77">
        <v>1</v>
      </c>
      <c r="E77">
        <f t="shared" si="3"/>
        <v>245.99</v>
      </c>
      <c r="F77">
        <v>238.83</v>
      </c>
      <c r="G77">
        <f t="shared" si="2"/>
        <v>7.16</v>
      </c>
      <c r="H77">
        <v>0</v>
      </c>
      <c r="I77">
        <v>0</v>
      </c>
    </row>
    <row r="78" spans="1:9" x14ac:dyDescent="0.3">
      <c r="A78" t="s">
        <v>59</v>
      </c>
      <c r="B78">
        <v>71179010</v>
      </c>
      <c r="C78">
        <v>3</v>
      </c>
      <c r="D78">
        <v>1</v>
      </c>
      <c r="E78">
        <f t="shared" si="3"/>
        <v>499</v>
      </c>
      <c r="F78">
        <v>484.47</v>
      </c>
      <c r="G78">
        <f t="shared" si="2"/>
        <v>14.53</v>
      </c>
      <c r="H78">
        <v>0</v>
      </c>
      <c r="I78">
        <v>0</v>
      </c>
    </row>
    <row r="79" spans="1:9" x14ac:dyDescent="0.3">
      <c r="A79" t="s">
        <v>59</v>
      </c>
      <c r="B79">
        <v>71179010</v>
      </c>
      <c r="C79">
        <v>3</v>
      </c>
      <c r="D79">
        <v>1</v>
      </c>
      <c r="E79">
        <f t="shared" si="3"/>
        <v>54</v>
      </c>
      <c r="F79">
        <v>52.43</v>
      </c>
      <c r="G79">
        <f t="shared" si="2"/>
        <v>1.57</v>
      </c>
      <c r="H79">
        <v>0</v>
      </c>
      <c r="I79">
        <v>0</v>
      </c>
    </row>
    <row r="80" spans="1:9" x14ac:dyDescent="0.3">
      <c r="A80" t="s">
        <v>53</v>
      </c>
      <c r="B80">
        <v>71179010</v>
      </c>
      <c r="C80">
        <v>3</v>
      </c>
      <c r="D80">
        <v>1</v>
      </c>
      <c r="E80">
        <f t="shared" si="3"/>
        <v>7006.2899999999991</v>
      </c>
      <c r="F80">
        <v>6802.2199999999993</v>
      </c>
      <c r="G80">
        <f t="shared" si="2"/>
        <v>204.07</v>
      </c>
      <c r="H80">
        <v>0</v>
      </c>
      <c r="I80">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6"/>
  <sheetViews>
    <sheetView topLeftCell="K1" workbookViewId="0">
      <pane ySplit="4" topLeftCell="A5" activePane="bottomLeft" state="frozen"/>
      <selection pane="bottomLeft" activeCell="A5" sqref="A5:P6"/>
    </sheetView>
  </sheetViews>
  <sheetFormatPr defaultRowHeight="14.4" x14ac:dyDescent="0.3"/>
  <cols>
    <col min="1" max="1" width="24.21875" customWidth="1"/>
    <col min="2" max="2" width="14.33203125" customWidth="1"/>
    <col min="3" max="3" width="13.21875" customWidth="1"/>
    <col min="4" max="5" width="9.88671875" customWidth="1"/>
    <col min="6" max="6" width="16.44140625" customWidth="1"/>
    <col min="7" max="7" width="15.44140625" customWidth="1"/>
    <col min="8" max="9" width="17.5546875" customWidth="1"/>
    <col min="10" max="10" width="26.44140625" customWidth="1"/>
    <col min="11" max="11" width="4.44140625" customWidth="1"/>
    <col min="12" max="12" width="20.88671875" customWidth="1"/>
    <col min="13" max="13" width="12.109375" customWidth="1"/>
    <col min="14" max="14" width="33" customWidth="1"/>
    <col min="15" max="15" width="30.77734375" customWidth="1"/>
    <col min="16" max="16" width="29.6640625" customWidth="1"/>
  </cols>
  <sheetData>
    <row r="1" spans="1:16" x14ac:dyDescent="0.3">
      <c r="A1" s="34" t="s">
        <v>173</v>
      </c>
    </row>
    <row r="2" spans="1:16" x14ac:dyDescent="0.3">
      <c r="A2" s="35" t="s">
        <v>31</v>
      </c>
      <c r="B2" s="35"/>
      <c r="C2" s="35" t="s">
        <v>174</v>
      </c>
      <c r="D2" s="35"/>
      <c r="E2" s="35"/>
      <c r="F2" s="35"/>
      <c r="G2" s="35"/>
      <c r="H2" s="35"/>
      <c r="I2" s="35" t="s">
        <v>175</v>
      </c>
      <c r="J2" s="35"/>
      <c r="K2" s="35"/>
      <c r="L2" s="35" t="s">
        <v>34</v>
      </c>
      <c r="M2" s="35" t="s">
        <v>35</v>
      </c>
      <c r="N2" s="35" t="s">
        <v>32</v>
      </c>
      <c r="O2" s="35"/>
      <c r="P2" s="35"/>
    </row>
    <row r="3" spans="1:16" x14ac:dyDescent="0.3">
      <c r="A3">
        <f>COUNTA(A5:A1048576)</f>
        <v>2</v>
      </c>
      <c r="C3">
        <f>COUNTA(C5:C1048576)</f>
        <v>2</v>
      </c>
      <c r="I3" s="31">
        <f>SUM(I5:I1048576)</f>
        <v>639.1</v>
      </c>
      <c r="L3" s="31">
        <f>SUM(L5:L1048576)</f>
        <v>620.49</v>
      </c>
      <c r="M3" s="31">
        <f>SUM(M5:M1048576)</f>
        <v>0</v>
      </c>
      <c r="N3">
        <f>COUNTA(N5:N1048576)</f>
        <v>2</v>
      </c>
    </row>
    <row r="4" spans="1:16" x14ac:dyDescent="0.3">
      <c r="A4" s="33" t="s">
        <v>36</v>
      </c>
      <c r="B4" s="33" t="s">
        <v>37</v>
      </c>
      <c r="C4" s="33" t="s">
        <v>176</v>
      </c>
      <c r="D4" s="33" t="s">
        <v>177</v>
      </c>
      <c r="E4" s="33" t="s">
        <v>178</v>
      </c>
      <c r="F4" s="33" t="s">
        <v>41</v>
      </c>
      <c r="G4" s="33" t="s">
        <v>42</v>
      </c>
      <c r="H4" s="33" t="s">
        <v>179</v>
      </c>
      <c r="I4" s="33" t="s">
        <v>180</v>
      </c>
      <c r="J4" s="33" t="s">
        <v>43</v>
      </c>
      <c r="K4" s="33" t="s">
        <v>46</v>
      </c>
      <c r="L4" s="33" t="s">
        <v>47</v>
      </c>
      <c r="M4" s="33" t="s">
        <v>48</v>
      </c>
      <c r="N4" s="33" t="s">
        <v>181</v>
      </c>
      <c r="O4" s="33" t="s">
        <v>182</v>
      </c>
      <c r="P4" s="33" t="s">
        <v>183</v>
      </c>
    </row>
    <row r="5" spans="1:16" x14ac:dyDescent="0.3">
      <c r="A5" t="s">
        <v>88</v>
      </c>
      <c r="B5" t="s">
        <v>50</v>
      </c>
      <c r="C5" t="s">
        <v>187</v>
      </c>
      <c r="D5" t="s">
        <v>121</v>
      </c>
      <c r="E5" t="s">
        <v>185</v>
      </c>
      <c r="F5" t="s">
        <v>63</v>
      </c>
      <c r="G5" t="s">
        <v>54</v>
      </c>
      <c r="H5" t="s">
        <v>55</v>
      </c>
      <c r="I5">
        <v>340.1</v>
      </c>
      <c r="J5" t="s">
        <v>50</v>
      </c>
      <c r="K5">
        <v>0.03</v>
      </c>
      <c r="L5">
        <v>330.19</v>
      </c>
      <c r="M5">
        <v>0</v>
      </c>
      <c r="N5" t="s">
        <v>89</v>
      </c>
      <c r="O5" t="s">
        <v>90</v>
      </c>
      <c r="P5" t="s">
        <v>186</v>
      </c>
    </row>
    <row r="6" spans="1:16" x14ac:dyDescent="0.3">
      <c r="A6" t="s">
        <v>102</v>
      </c>
      <c r="B6" t="s">
        <v>50</v>
      </c>
      <c r="C6" t="s">
        <v>184</v>
      </c>
      <c r="D6" t="s">
        <v>121</v>
      </c>
      <c r="E6" t="s">
        <v>185</v>
      </c>
      <c r="F6" t="s">
        <v>105</v>
      </c>
      <c r="G6" t="s">
        <v>54</v>
      </c>
      <c r="H6" t="s">
        <v>55</v>
      </c>
      <c r="I6">
        <v>299</v>
      </c>
      <c r="J6" t="s">
        <v>50</v>
      </c>
      <c r="K6">
        <v>0.03</v>
      </c>
      <c r="L6">
        <v>290.3</v>
      </c>
      <c r="M6">
        <v>0</v>
      </c>
      <c r="N6" t="s">
        <v>103</v>
      </c>
      <c r="O6" t="s">
        <v>104</v>
      </c>
      <c r="P6" t="s">
        <v>186</v>
      </c>
    </row>
  </sheetData>
  <sortState xmlns:xlrd2="http://schemas.microsoft.com/office/spreadsheetml/2017/richdata2" ref="C5:C6">
    <sortCondition descending="1" ref="C5:C6"/>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4"/>
  <sheetViews>
    <sheetView workbookViewId="0">
      <pane ySplit="4" topLeftCell="A5" activePane="bottomLeft" state="frozen"/>
      <selection pane="bottomLeft"/>
    </sheetView>
  </sheetViews>
  <sheetFormatPr defaultRowHeight="14.4" x14ac:dyDescent="0.3"/>
  <cols>
    <col min="1" max="1" width="18.6640625" customWidth="1"/>
    <col min="2" max="2" width="13.21875" customWidth="1"/>
    <col min="3" max="4" width="9.88671875" customWidth="1"/>
    <col min="5" max="5" width="16.44140625" customWidth="1"/>
    <col min="6" max="6" width="17.5546875" customWidth="1"/>
    <col min="7" max="7" width="26.44140625" customWidth="1"/>
    <col min="8" max="8" width="4.44140625" customWidth="1"/>
    <col min="9" max="9" width="20.88671875" customWidth="1"/>
    <col min="10" max="10" width="12.109375" customWidth="1"/>
    <col min="11" max="11" width="33" customWidth="1"/>
    <col min="12" max="12" width="30.77734375" customWidth="1"/>
    <col min="13" max="13" width="29.6640625" customWidth="1"/>
  </cols>
  <sheetData>
    <row r="1" spans="1:13" x14ac:dyDescent="0.3">
      <c r="A1" s="36" t="s">
        <v>188</v>
      </c>
    </row>
    <row r="2" spans="1:13" x14ac:dyDescent="0.3">
      <c r="A2" s="37"/>
      <c r="B2" s="37" t="s">
        <v>174</v>
      </c>
      <c r="C2" s="37"/>
      <c r="D2" s="37"/>
      <c r="E2" s="37"/>
      <c r="F2" s="37" t="s">
        <v>175</v>
      </c>
      <c r="G2" s="37"/>
      <c r="H2" s="37"/>
      <c r="I2" s="37" t="s">
        <v>34</v>
      </c>
      <c r="J2" s="37" t="s">
        <v>35</v>
      </c>
      <c r="K2" s="37" t="s">
        <v>32</v>
      </c>
      <c r="L2" s="37"/>
      <c r="M2" s="37"/>
    </row>
    <row r="3" spans="1:13" x14ac:dyDescent="0.3">
      <c r="B3">
        <f>COUNTA(B5:B1048576)</f>
        <v>0</v>
      </c>
      <c r="F3" s="31">
        <f>SUM(F5:F1048576)</f>
        <v>0</v>
      </c>
      <c r="I3" s="31">
        <f>SUM(I5:I1048576)</f>
        <v>0</v>
      </c>
      <c r="J3" s="31">
        <f>SUM(J5:J1048576)</f>
        <v>0</v>
      </c>
      <c r="K3">
        <f>COUNTA(K5:K1048576)</f>
        <v>0</v>
      </c>
    </row>
    <row r="4" spans="1:13" x14ac:dyDescent="0.3">
      <c r="A4" s="33" t="s">
        <v>189</v>
      </c>
      <c r="B4" s="33" t="s">
        <v>176</v>
      </c>
      <c r="C4" s="33" t="s">
        <v>177</v>
      </c>
      <c r="D4" s="33" t="s">
        <v>178</v>
      </c>
      <c r="E4" s="33" t="s">
        <v>41</v>
      </c>
      <c r="F4" s="33" t="s">
        <v>180</v>
      </c>
      <c r="G4" s="33" t="s">
        <v>43</v>
      </c>
      <c r="H4" s="33" t="s">
        <v>46</v>
      </c>
      <c r="I4" s="33" t="s">
        <v>47</v>
      </c>
      <c r="J4" s="33" t="s">
        <v>48</v>
      </c>
      <c r="K4" s="33" t="s">
        <v>181</v>
      </c>
      <c r="L4" s="33" t="s">
        <v>182</v>
      </c>
      <c r="M4" s="33" t="s">
        <v>183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4"/>
  <sheetViews>
    <sheetView workbookViewId="0">
      <pane ySplit="4" topLeftCell="A5" activePane="bottomLeft" state="frozen"/>
      <selection pane="bottomLeft"/>
    </sheetView>
  </sheetViews>
  <sheetFormatPr defaultRowHeight="14.4" x14ac:dyDescent="0.3"/>
  <cols>
    <col min="1" max="1" width="17.5546875" customWidth="1"/>
    <col min="2" max="2" width="13.21875" customWidth="1"/>
    <col min="3" max="3" width="20.88671875" customWidth="1"/>
    <col min="4" max="4" width="16.44140625" customWidth="1"/>
    <col min="5" max="5" width="26.44140625" customWidth="1"/>
    <col min="6" max="6" width="4.44140625" customWidth="1"/>
    <col min="7" max="7" width="20.88671875" customWidth="1"/>
    <col min="8" max="8" width="12.109375" customWidth="1"/>
    <col min="9" max="9" width="17.5546875" customWidth="1"/>
  </cols>
  <sheetData>
    <row r="1" spans="1:9" x14ac:dyDescent="0.3">
      <c r="A1" s="38" t="s">
        <v>190</v>
      </c>
    </row>
    <row r="2" spans="1:9" x14ac:dyDescent="0.3">
      <c r="A2" s="39" t="s">
        <v>32</v>
      </c>
      <c r="B2" s="39"/>
      <c r="C2" s="39" t="s">
        <v>33</v>
      </c>
      <c r="D2" s="39"/>
      <c r="E2" s="39"/>
      <c r="F2" s="39"/>
      <c r="G2" s="39" t="s">
        <v>34</v>
      </c>
      <c r="H2" s="39" t="s">
        <v>35</v>
      </c>
      <c r="I2" s="39"/>
    </row>
    <row r="3" spans="1:9" x14ac:dyDescent="0.3">
      <c r="A3">
        <f>COUNTA(A5:A1048576)</f>
        <v>0</v>
      </c>
      <c r="C3" s="31">
        <f>SUM(C5:C1048576)</f>
        <v>0</v>
      </c>
      <c r="G3" s="31">
        <f>SUM(G5:G1048576)</f>
        <v>0</v>
      </c>
      <c r="H3" s="31">
        <f>SUM(H5:H1048576)</f>
        <v>0</v>
      </c>
    </row>
    <row r="4" spans="1:9" x14ac:dyDescent="0.3">
      <c r="A4" s="33" t="s">
        <v>38</v>
      </c>
      <c r="B4" s="33" t="s">
        <v>39</v>
      </c>
      <c r="C4" s="33" t="s">
        <v>40</v>
      </c>
      <c r="D4" s="33" t="s">
        <v>41</v>
      </c>
      <c r="E4" s="33" t="s">
        <v>43</v>
      </c>
      <c r="F4" s="33" t="s">
        <v>46</v>
      </c>
      <c r="G4" s="33" t="s">
        <v>47</v>
      </c>
      <c r="H4" s="33" t="s">
        <v>48</v>
      </c>
      <c r="I4" s="33" t="s">
        <v>45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33"/>
  <sheetViews>
    <sheetView topLeftCell="C1" workbookViewId="0">
      <pane ySplit="4" topLeftCell="A11" activePane="bottomLeft" state="frozen"/>
      <selection pane="bottomLeft" activeCell="H7" sqref="H7"/>
    </sheetView>
  </sheetViews>
  <sheetFormatPr defaultRowHeight="14.4" x14ac:dyDescent="0.3"/>
  <cols>
    <col min="1" max="1" width="17.5546875" customWidth="1"/>
    <col min="2" max="2" width="16.44140625" customWidth="1"/>
    <col min="3" max="3" width="26.44140625" customWidth="1"/>
    <col min="4" max="4" width="4.44140625" customWidth="1"/>
    <col min="5" max="5" width="20.88671875" customWidth="1"/>
    <col min="6" max="6" width="12.109375" customWidth="1"/>
    <col min="7" max="7" width="17.5546875" customWidth="1"/>
  </cols>
  <sheetData>
    <row r="1" spans="1:8" x14ac:dyDescent="0.3">
      <c r="A1" s="40" t="s">
        <v>191</v>
      </c>
    </row>
    <row r="2" spans="1:8" x14ac:dyDescent="0.3">
      <c r="A2" s="41"/>
      <c r="B2" s="41"/>
      <c r="C2" s="41"/>
      <c r="D2" s="41"/>
      <c r="E2" s="41" t="s">
        <v>34</v>
      </c>
      <c r="F2" s="41" t="s">
        <v>35</v>
      </c>
      <c r="G2" s="41"/>
    </row>
    <row r="3" spans="1:8" x14ac:dyDescent="0.3">
      <c r="E3" s="31">
        <f>SUM(E5:E1048576)</f>
        <v>140366.37999999998</v>
      </c>
      <c r="F3" s="31">
        <f>SUM(F5:F1048576)</f>
        <v>0</v>
      </c>
    </row>
    <row r="4" spans="1:8" x14ac:dyDescent="0.3">
      <c r="A4" s="33" t="s">
        <v>192</v>
      </c>
      <c r="B4" s="33" t="s">
        <v>41</v>
      </c>
      <c r="C4" s="33" t="s">
        <v>43</v>
      </c>
      <c r="D4" s="33" t="s">
        <v>46</v>
      </c>
      <c r="E4" s="33" t="s">
        <v>47</v>
      </c>
      <c r="F4" s="33" t="s">
        <v>48</v>
      </c>
      <c r="G4" s="33" t="s">
        <v>45</v>
      </c>
    </row>
    <row r="5" spans="1:8" x14ac:dyDescent="0.3">
      <c r="A5" t="s">
        <v>193</v>
      </c>
      <c r="B5" t="s">
        <v>194</v>
      </c>
      <c r="C5" t="s">
        <v>50</v>
      </c>
      <c r="D5">
        <v>0.03</v>
      </c>
      <c r="E5">
        <v>791.25</v>
      </c>
      <c r="F5">
        <v>0</v>
      </c>
      <c r="G5" t="s">
        <v>87</v>
      </c>
    </row>
    <row r="6" spans="1:8" x14ac:dyDescent="0.3">
      <c r="A6" t="s">
        <v>193</v>
      </c>
      <c r="B6" t="s">
        <v>195</v>
      </c>
      <c r="C6" t="s">
        <v>50</v>
      </c>
      <c r="D6">
        <v>0.03</v>
      </c>
      <c r="E6">
        <v>290.29000000000002</v>
      </c>
      <c r="F6">
        <v>0</v>
      </c>
      <c r="G6" t="s">
        <v>87</v>
      </c>
    </row>
    <row r="7" spans="1:8" x14ac:dyDescent="0.3">
      <c r="A7" t="s">
        <v>193</v>
      </c>
      <c r="B7" t="s">
        <v>196</v>
      </c>
      <c r="C7" t="s">
        <v>50</v>
      </c>
      <c r="D7">
        <v>0.03</v>
      </c>
      <c r="E7">
        <v>474.75</v>
      </c>
      <c r="F7">
        <v>0</v>
      </c>
      <c r="G7" t="s">
        <v>87</v>
      </c>
    </row>
    <row r="8" spans="1:8" x14ac:dyDescent="0.3">
      <c r="A8" t="s">
        <v>193</v>
      </c>
      <c r="B8" t="s">
        <v>197</v>
      </c>
      <c r="C8" t="s">
        <v>50</v>
      </c>
      <c r="D8">
        <v>0.03</v>
      </c>
      <c r="E8">
        <v>1193.24</v>
      </c>
      <c r="F8">
        <v>0</v>
      </c>
      <c r="G8" t="s">
        <v>87</v>
      </c>
    </row>
    <row r="9" spans="1:8" x14ac:dyDescent="0.3">
      <c r="A9" t="s">
        <v>193</v>
      </c>
      <c r="B9" t="s">
        <v>110</v>
      </c>
      <c r="C9" t="s">
        <v>50</v>
      </c>
      <c r="D9">
        <v>0.03</v>
      </c>
      <c r="E9">
        <v>829.13000000000011</v>
      </c>
      <c r="F9">
        <v>0</v>
      </c>
      <c r="G9" t="s">
        <v>87</v>
      </c>
    </row>
    <row r="10" spans="1:8" x14ac:dyDescent="0.3">
      <c r="A10" t="s">
        <v>193</v>
      </c>
      <c r="B10" t="s">
        <v>198</v>
      </c>
      <c r="C10" t="s">
        <v>50</v>
      </c>
      <c r="D10">
        <v>0.03</v>
      </c>
      <c r="E10">
        <v>347.57</v>
      </c>
      <c r="F10">
        <v>0</v>
      </c>
      <c r="G10" t="s">
        <v>87</v>
      </c>
    </row>
    <row r="11" spans="1:8" x14ac:dyDescent="0.3">
      <c r="A11" t="s">
        <v>193</v>
      </c>
      <c r="B11" t="s">
        <v>63</v>
      </c>
      <c r="C11" t="s">
        <v>50</v>
      </c>
      <c r="D11">
        <v>0.03</v>
      </c>
      <c r="E11">
        <v>7744.2199999999984</v>
      </c>
      <c r="F11">
        <v>0</v>
      </c>
      <c r="G11" t="s">
        <v>87</v>
      </c>
    </row>
    <row r="12" spans="1:8" x14ac:dyDescent="0.3">
      <c r="A12" t="s">
        <v>193</v>
      </c>
      <c r="B12" t="s">
        <v>199</v>
      </c>
      <c r="C12" t="s">
        <v>50</v>
      </c>
      <c r="D12">
        <v>0.03</v>
      </c>
      <c r="E12">
        <v>4358.88</v>
      </c>
      <c r="F12">
        <v>0</v>
      </c>
      <c r="G12" t="s">
        <v>87</v>
      </c>
      <c r="H12">
        <f>D12*100</f>
        <v>3</v>
      </c>
    </row>
    <row r="13" spans="1:8" x14ac:dyDescent="0.3">
      <c r="A13" t="s">
        <v>193</v>
      </c>
      <c r="B13" t="s">
        <v>105</v>
      </c>
      <c r="C13" t="s">
        <v>50</v>
      </c>
      <c r="D13">
        <v>0.03</v>
      </c>
      <c r="E13">
        <v>44063.459999999963</v>
      </c>
      <c r="F13">
        <v>0</v>
      </c>
      <c r="G13" t="s">
        <v>87</v>
      </c>
      <c r="H13">
        <f t="shared" ref="H13:H33" si="0">D13*100</f>
        <v>3</v>
      </c>
    </row>
    <row r="14" spans="1:8" x14ac:dyDescent="0.3">
      <c r="A14" t="s">
        <v>193</v>
      </c>
      <c r="B14" t="s">
        <v>200</v>
      </c>
      <c r="C14" t="s">
        <v>50</v>
      </c>
      <c r="D14">
        <v>0.03</v>
      </c>
      <c r="E14">
        <v>0</v>
      </c>
      <c r="F14">
        <v>0</v>
      </c>
      <c r="G14" t="s">
        <v>87</v>
      </c>
      <c r="H14">
        <f t="shared" si="0"/>
        <v>3</v>
      </c>
    </row>
    <row r="15" spans="1:8" x14ac:dyDescent="0.3">
      <c r="A15" t="s">
        <v>193</v>
      </c>
      <c r="B15" t="s">
        <v>59</v>
      </c>
      <c r="C15" t="s">
        <v>50</v>
      </c>
      <c r="D15">
        <v>0.03</v>
      </c>
      <c r="E15">
        <v>13532.940000000002</v>
      </c>
      <c r="F15">
        <v>0</v>
      </c>
      <c r="G15" t="s">
        <v>87</v>
      </c>
      <c r="H15">
        <f t="shared" si="0"/>
        <v>3</v>
      </c>
    </row>
    <row r="16" spans="1:8" x14ac:dyDescent="0.3">
      <c r="A16" t="s">
        <v>193</v>
      </c>
      <c r="B16" t="s">
        <v>86</v>
      </c>
      <c r="C16" t="s">
        <v>50</v>
      </c>
      <c r="D16">
        <v>0</v>
      </c>
      <c r="E16">
        <v>-76.7</v>
      </c>
      <c r="F16">
        <v>0</v>
      </c>
      <c r="G16" t="s">
        <v>87</v>
      </c>
      <c r="H16">
        <f t="shared" si="0"/>
        <v>0</v>
      </c>
    </row>
    <row r="17" spans="1:8" x14ac:dyDescent="0.3">
      <c r="A17" t="s">
        <v>193</v>
      </c>
      <c r="B17" t="s">
        <v>201</v>
      </c>
      <c r="C17" t="s">
        <v>50</v>
      </c>
      <c r="D17">
        <v>0.12</v>
      </c>
      <c r="E17">
        <v>266.95999999999998</v>
      </c>
      <c r="F17">
        <v>0</v>
      </c>
      <c r="G17" t="s">
        <v>87</v>
      </c>
      <c r="H17">
        <f t="shared" si="0"/>
        <v>12</v>
      </c>
    </row>
    <row r="18" spans="1:8" x14ac:dyDescent="0.3">
      <c r="A18" t="s">
        <v>193</v>
      </c>
      <c r="B18" t="s">
        <v>202</v>
      </c>
      <c r="C18" t="s">
        <v>50</v>
      </c>
      <c r="D18">
        <v>0.03</v>
      </c>
      <c r="E18">
        <v>15332.970000000003</v>
      </c>
      <c r="F18">
        <v>0</v>
      </c>
      <c r="G18" t="s">
        <v>87</v>
      </c>
      <c r="H18">
        <f t="shared" si="0"/>
        <v>3</v>
      </c>
    </row>
    <row r="19" spans="1:8" x14ac:dyDescent="0.3">
      <c r="A19" t="s">
        <v>193</v>
      </c>
      <c r="B19" t="s">
        <v>110</v>
      </c>
      <c r="C19" t="s">
        <v>50</v>
      </c>
      <c r="D19">
        <v>0.12</v>
      </c>
      <c r="E19">
        <v>240.18</v>
      </c>
      <c r="F19">
        <v>0</v>
      </c>
      <c r="G19" t="s">
        <v>87</v>
      </c>
      <c r="H19">
        <f t="shared" si="0"/>
        <v>12</v>
      </c>
    </row>
    <row r="20" spans="1:8" x14ac:dyDescent="0.3">
      <c r="A20" t="s">
        <v>193</v>
      </c>
      <c r="B20" t="s">
        <v>86</v>
      </c>
      <c r="C20" t="s">
        <v>50</v>
      </c>
      <c r="D20">
        <v>0.03</v>
      </c>
      <c r="E20">
        <v>29113.070000000011</v>
      </c>
      <c r="F20">
        <v>0</v>
      </c>
      <c r="G20" t="s">
        <v>87</v>
      </c>
      <c r="H20">
        <f t="shared" si="0"/>
        <v>3</v>
      </c>
    </row>
    <row r="21" spans="1:8" x14ac:dyDescent="0.3">
      <c r="A21" t="s">
        <v>193</v>
      </c>
      <c r="B21" t="s">
        <v>201</v>
      </c>
      <c r="C21" t="s">
        <v>50</v>
      </c>
      <c r="D21">
        <v>0.03</v>
      </c>
      <c r="E21">
        <v>1235.92</v>
      </c>
      <c r="F21">
        <v>0</v>
      </c>
      <c r="G21" t="s">
        <v>87</v>
      </c>
      <c r="H21">
        <f t="shared" si="0"/>
        <v>3</v>
      </c>
    </row>
    <row r="22" spans="1:8" x14ac:dyDescent="0.3">
      <c r="A22" t="s">
        <v>193</v>
      </c>
      <c r="B22" t="s">
        <v>53</v>
      </c>
      <c r="C22" t="s">
        <v>50</v>
      </c>
      <c r="D22">
        <v>0.03</v>
      </c>
      <c r="E22">
        <v>829.23</v>
      </c>
      <c r="F22">
        <v>0</v>
      </c>
      <c r="G22" t="s">
        <v>87</v>
      </c>
      <c r="H22">
        <f t="shared" si="0"/>
        <v>3</v>
      </c>
    </row>
    <row r="23" spans="1:8" x14ac:dyDescent="0.3">
      <c r="A23" t="s">
        <v>193</v>
      </c>
      <c r="B23" t="s">
        <v>59</v>
      </c>
      <c r="C23" t="s">
        <v>50</v>
      </c>
      <c r="D23">
        <v>0.12</v>
      </c>
      <c r="E23">
        <v>539.78</v>
      </c>
      <c r="F23">
        <v>0</v>
      </c>
      <c r="G23" t="s">
        <v>87</v>
      </c>
      <c r="H23">
        <f t="shared" si="0"/>
        <v>12</v>
      </c>
    </row>
    <row r="24" spans="1:8" x14ac:dyDescent="0.3">
      <c r="A24" t="s">
        <v>193</v>
      </c>
      <c r="B24" t="s">
        <v>202</v>
      </c>
      <c r="C24" t="s">
        <v>50</v>
      </c>
      <c r="D24">
        <v>0.12</v>
      </c>
      <c r="E24">
        <v>266.95999999999998</v>
      </c>
      <c r="F24">
        <v>0</v>
      </c>
      <c r="G24" t="s">
        <v>87</v>
      </c>
      <c r="H24">
        <f t="shared" si="0"/>
        <v>12</v>
      </c>
    </row>
    <row r="25" spans="1:8" x14ac:dyDescent="0.3">
      <c r="A25" t="s">
        <v>193</v>
      </c>
      <c r="B25" t="s">
        <v>105</v>
      </c>
      <c r="C25" t="s">
        <v>50</v>
      </c>
      <c r="D25">
        <v>0.12</v>
      </c>
      <c r="E25">
        <v>5588.65</v>
      </c>
      <c r="F25">
        <v>0</v>
      </c>
      <c r="G25" t="s">
        <v>87</v>
      </c>
      <c r="H25">
        <f t="shared" si="0"/>
        <v>12</v>
      </c>
    </row>
    <row r="26" spans="1:8" x14ac:dyDescent="0.3">
      <c r="A26" t="s">
        <v>193</v>
      </c>
      <c r="B26" t="s">
        <v>203</v>
      </c>
      <c r="C26" t="s">
        <v>50</v>
      </c>
      <c r="D26">
        <v>0.03</v>
      </c>
      <c r="E26">
        <v>261.17</v>
      </c>
      <c r="F26">
        <v>0</v>
      </c>
      <c r="G26" t="s">
        <v>87</v>
      </c>
      <c r="H26">
        <f t="shared" si="0"/>
        <v>3</v>
      </c>
    </row>
    <row r="27" spans="1:8" x14ac:dyDescent="0.3">
      <c r="A27" t="s">
        <v>193</v>
      </c>
      <c r="B27" t="s">
        <v>204</v>
      </c>
      <c r="C27" t="s">
        <v>50</v>
      </c>
      <c r="D27">
        <v>0.03</v>
      </c>
      <c r="E27">
        <v>3452.6899999999996</v>
      </c>
      <c r="F27">
        <v>0</v>
      </c>
      <c r="G27" t="s">
        <v>87</v>
      </c>
      <c r="H27">
        <f t="shared" si="0"/>
        <v>3</v>
      </c>
    </row>
    <row r="28" spans="1:8" x14ac:dyDescent="0.3">
      <c r="A28" t="s">
        <v>193</v>
      </c>
      <c r="B28" t="s">
        <v>205</v>
      </c>
      <c r="C28" t="s">
        <v>50</v>
      </c>
      <c r="D28">
        <v>0.03</v>
      </c>
      <c r="E28">
        <v>756.32</v>
      </c>
      <c r="F28">
        <v>0</v>
      </c>
      <c r="G28" t="s">
        <v>87</v>
      </c>
      <c r="H28">
        <f t="shared" si="0"/>
        <v>3</v>
      </c>
    </row>
    <row r="29" spans="1:8" x14ac:dyDescent="0.3">
      <c r="A29" t="s">
        <v>193</v>
      </c>
      <c r="B29" t="s">
        <v>86</v>
      </c>
      <c r="C29" t="s">
        <v>50</v>
      </c>
      <c r="D29">
        <v>0.12</v>
      </c>
      <c r="E29">
        <v>3414.07</v>
      </c>
      <c r="F29">
        <v>0</v>
      </c>
      <c r="G29" t="s">
        <v>87</v>
      </c>
      <c r="H29">
        <f t="shared" si="0"/>
        <v>12</v>
      </c>
    </row>
    <row r="30" spans="1:8" x14ac:dyDescent="0.3">
      <c r="A30" t="s">
        <v>193</v>
      </c>
      <c r="B30" t="s">
        <v>86</v>
      </c>
      <c r="C30" t="s">
        <v>50</v>
      </c>
      <c r="D30">
        <v>0.18</v>
      </c>
      <c r="E30">
        <v>287.29000000000002</v>
      </c>
      <c r="F30">
        <v>0</v>
      </c>
      <c r="G30" t="s">
        <v>87</v>
      </c>
      <c r="H30">
        <f t="shared" si="0"/>
        <v>18</v>
      </c>
    </row>
    <row r="31" spans="1:8" x14ac:dyDescent="0.3">
      <c r="A31" t="s">
        <v>193</v>
      </c>
      <c r="B31" t="s">
        <v>206</v>
      </c>
      <c r="C31" t="s">
        <v>50</v>
      </c>
      <c r="D31">
        <v>0.03</v>
      </c>
      <c r="E31">
        <v>2573.84</v>
      </c>
      <c r="F31">
        <v>0</v>
      </c>
      <c r="G31" t="s">
        <v>87</v>
      </c>
      <c r="H31">
        <f t="shared" si="0"/>
        <v>3</v>
      </c>
    </row>
    <row r="32" spans="1:8" x14ac:dyDescent="0.3">
      <c r="A32" t="s">
        <v>193</v>
      </c>
      <c r="B32" t="s">
        <v>207</v>
      </c>
      <c r="C32" t="s">
        <v>50</v>
      </c>
      <c r="D32">
        <v>0.03</v>
      </c>
      <c r="E32">
        <v>2658.25</v>
      </c>
      <c r="F32">
        <v>0</v>
      </c>
      <c r="G32" t="s">
        <v>87</v>
      </c>
      <c r="H32">
        <f t="shared" si="0"/>
        <v>3</v>
      </c>
    </row>
    <row r="33" spans="1:8" x14ac:dyDescent="0.3">
      <c r="A33" t="s">
        <v>193</v>
      </c>
      <c r="B33" t="s">
        <v>208</v>
      </c>
      <c r="C33" t="s">
        <v>50</v>
      </c>
      <c r="D33">
        <v>0.03</v>
      </c>
      <c r="E33">
        <v>0</v>
      </c>
      <c r="F33">
        <v>0</v>
      </c>
      <c r="G33" t="s">
        <v>87</v>
      </c>
      <c r="H33">
        <f t="shared" si="0"/>
        <v>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F02DC5-691B-40F4-B166-0F47B9AE012A}">
  <dimension ref="A1:T36"/>
  <sheetViews>
    <sheetView topLeftCell="P1" zoomScaleNormal="100" workbookViewId="0">
      <selection activeCell="Q2" sqref="Q2:Q5"/>
    </sheetView>
  </sheetViews>
  <sheetFormatPr defaultRowHeight="14.4" x14ac:dyDescent="0.3"/>
  <cols>
    <col min="1" max="1" width="18.88671875" customWidth="1"/>
    <col min="13" max="13" width="20.109375" bestFit="1" customWidth="1"/>
    <col min="14" max="14" width="7.44140625" bestFit="1" customWidth="1"/>
    <col min="15" max="15" width="14.88671875" bestFit="1" customWidth="1"/>
    <col min="16" max="16" width="19" bestFit="1" customWidth="1"/>
    <col min="17" max="17" width="19.33203125" bestFit="1" customWidth="1"/>
    <col min="18" max="18" width="11.21875" bestFit="1" customWidth="1"/>
    <col min="19" max="19" width="11.77734375" bestFit="1" customWidth="1"/>
    <col min="20" max="20" width="11.6640625" bestFit="1" customWidth="1"/>
  </cols>
  <sheetData>
    <row r="1" spans="1:20" x14ac:dyDescent="0.3">
      <c r="A1" t="s">
        <v>234</v>
      </c>
      <c r="B1" t="s">
        <v>215</v>
      </c>
      <c r="C1" t="s">
        <v>235</v>
      </c>
      <c r="D1" t="s">
        <v>236</v>
      </c>
      <c r="E1" t="s">
        <v>40</v>
      </c>
      <c r="F1" t="s">
        <v>47</v>
      </c>
      <c r="G1" t="s">
        <v>237</v>
      </c>
      <c r="H1" t="s">
        <v>238</v>
      </c>
      <c r="I1" t="s">
        <v>239</v>
      </c>
      <c r="M1" s="47" t="s">
        <v>215</v>
      </c>
      <c r="N1" s="47" t="s">
        <v>235</v>
      </c>
      <c r="O1" t="s">
        <v>240</v>
      </c>
      <c r="P1" t="s">
        <v>241</v>
      </c>
      <c r="Q1" t="s">
        <v>243</v>
      </c>
      <c r="R1" t="s">
        <v>242</v>
      </c>
      <c r="S1" t="s">
        <v>245</v>
      </c>
      <c r="T1" t="s">
        <v>244</v>
      </c>
    </row>
    <row r="2" spans="1:20" x14ac:dyDescent="0.3">
      <c r="A2" t="s">
        <v>199</v>
      </c>
      <c r="B2">
        <v>71179010</v>
      </c>
      <c r="C2">
        <v>3</v>
      </c>
      <c r="D2">
        <v>1</v>
      </c>
      <c r="E2">
        <f>SUM(F2:I2)</f>
        <v>4424.26</v>
      </c>
      <c r="F2">
        <v>4358.88</v>
      </c>
      <c r="G2">
        <f>ROUND(F2*C2%/2,2)</f>
        <v>65.38</v>
      </c>
      <c r="H2">
        <v>0</v>
      </c>
      <c r="I2">
        <v>0</v>
      </c>
      <c r="M2">
        <v>9615</v>
      </c>
      <c r="N2">
        <v>12</v>
      </c>
      <c r="O2" s="46">
        <v>6</v>
      </c>
      <c r="P2" s="46">
        <v>11606.239999999998</v>
      </c>
      <c r="Q2" s="46">
        <v>10316.6</v>
      </c>
      <c r="R2" s="46">
        <v>619</v>
      </c>
      <c r="S2" s="46">
        <v>335.32</v>
      </c>
      <c r="T2" s="46">
        <v>335.32</v>
      </c>
    </row>
    <row r="3" spans="1:20" x14ac:dyDescent="0.3">
      <c r="A3" t="s">
        <v>105</v>
      </c>
      <c r="B3">
        <v>71179010</v>
      </c>
      <c r="C3">
        <v>3</v>
      </c>
      <c r="D3">
        <v>1</v>
      </c>
      <c r="E3">
        <f t="shared" ref="E3:E23" si="0">SUM(F3:I3)</f>
        <v>46046.309999999954</v>
      </c>
      <c r="F3">
        <v>44063.459999999963</v>
      </c>
      <c r="G3">
        <f t="shared" ref="G3:G23" si="1">ROUND(F3*C3%/2,2)</f>
        <v>660.95</v>
      </c>
      <c r="H3">
        <f>ROUND(F3*C3%/2,2)</f>
        <v>660.95</v>
      </c>
      <c r="I3">
        <f>ROUND(F3*C3%/2,2)</f>
        <v>660.95</v>
      </c>
      <c r="M3">
        <v>71179010</v>
      </c>
      <c r="N3">
        <v>3</v>
      </c>
      <c r="O3" s="46">
        <v>14</v>
      </c>
      <c r="P3" s="46">
        <v>121933.79999999996</v>
      </c>
      <c r="Q3" s="46">
        <v>118168.73999999998</v>
      </c>
      <c r="R3" s="46">
        <v>1772.5199999999998</v>
      </c>
      <c r="S3" s="46">
        <v>660.95</v>
      </c>
      <c r="T3" s="46">
        <v>1331.59</v>
      </c>
    </row>
    <row r="4" spans="1:20" x14ac:dyDescent="0.3">
      <c r="A4" t="s">
        <v>200</v>
      </c>
      <c r="B4">
        <v>71179010</v>
      </c>
      <c r="C4">
        <v>3</v>
      </c>
      <c r="D4">
        <v>1</v>
      </c>
      <c r="E4">
        <f t="shared" si="0"/>
        <v>335.32</v>
      </c>
      <c r="F4">
        <v>0</v>
      </c>
      <c r="G4">
        <f t="shared" si="1"/>
        <v>0</v>
      </c>
      <c r="H4">
        <v>0</v>
      </c>
      <c r="I4">
        <v>335.32</v>
      </c>
      <c r="M4">
        <v>85182110</v>
      </c>
      <c r="N4">
        <v>18</v>
      </c>
      <c r="O4" s="46">
        <v>1</v>
      </c>
      <c r="P4" s="46">
        <v>313.15000000000003</v>
      </c>
      <c r="Q4" s="46">
        <v>287.29000000000002</v>
      </c>
      <c r="R4" s="46">
        <v>25.86</v>
      </c>
      <c r="S4" s="46">
        <v>0</v>
      </c>
      <c r="T4" s="46">
        <v>0</v>
      </c>
    </row>
    <row r="5" spans="1:20" x14ac:dyDescent="0.3">
      <c r="A5" t="s">
        <v>59</v>
      </c>
      <c r="B5">
        <v>71179010</v>
      </c>
      <c r="C5">
        <v>3</v>
      </c>
      <c r="D5">
        <v>1</v>
      </c>
      <c r="E5">
        <f t="shared" si="0"/>
        <v>13735.930000000002</v>
      </c>
      <c r="F5">
        <v>13532.940000000002</v>
      </c>
      <c r="G5">
        <f t="shared" si="1"/>
        <v>202.99</v>
      </c>
      <c r="H5">
        <v>0</v>
      </c>
      <c r="I5">
        <v>0</v>
      </c>
      <c r="M5">
        <v>95059090</v>
      </c>
      <c r="N5">
        <v>0</v>
      </c>
      <c r="O5" s="46">
        <v>1</v>
      </c>
      <c r="P5" s="46">
        <v>-76.7</v>
      </c>
      <c r="Q5" s="46">
        <v>-76.7</v>
      </c>
      <c r="R5" s="46">
        <v>0</v>
      </c>
      <c r="S5" s="46">
        <v>0</v>
      </c>
      <c r="T5" s="46">
        <v>0</v>
      </c>
    </row>
    <row r="6" spans="1:20" x14ac:dyDescent="0.3">
      <c r="A6" t="s">
        <v>86</v>
      </c>
      <c r="B6">
        <v>95059090</v>
      </c>
      <c r="C6">
        <v>0</v>
      </c>
      <c r="D6">
        <v>1</v>
      </c>
      <c r="E6">
        <f t="shared" si="0"/>
        <v>-76.7</v>
      </c>
      <c r="F6">
        <v>-76.7</v>
      </c>
      <c r="G6">
        <f t="shared" si="1"/>
        <v>0</v>
      </c>
      <c r="H6">
        <v>0</v>
      </c>
      <c r="I6">
        <v>0</v>
      </c>
    </row>
    <row r="7" spans="1:20" x14ac:dyDescent="0.3">
      <c r="A7" t="s">
        <v>201</v>
      </c>
      <c r="B7">
        <v>9615</v>
      </c>
      <c r="C7">
        <v>12</v>
      </c>
      <c r="D7">
        <v>1</v>
      </c>
      <c r="E7">
        <f t="shared" si="0"/>
        <v>282.97999999999996</v>
      </c>
      <c r="F7">
        <v>266.95999999999998</v>
      </c>
      <c r="G7">
        <f t="shared" si="1"/>
        <v>16.02</v>
      </c>
      <c r="H7">
        <v>0</v>
      </c>
      <c r="I7">
        <v>0</v>
      </c>
    </row>
    <row r="8" spans="1:20" x14ac:dyDescent="0.3">
      <c r="A8" t="s">
        <v>202</v>
      </c>
      <c r="B8">
        <v>71179010</v>
      </c>
      <c r="C8">
        <v>3</v>
      </c>
      <c r="D8">
        <v>1</v>
      </c>
      <c r="E8">
        <f t="shared" si="0"/>
        <v>15562.960000000003</v>
      </c>
      <c r="F8">
        <v>15332.970000000003</v>
      </c>
      <c r="G8">
        <f t="shared" si="1"/>
        <v>229.99</v>
      </c>
      <c r="H8">
        <v>0</v>
      </c>
      <c r="I8">
        <v>0</v>
      </c>
    </row>
    <row r="9" spans="1:20" x14ac:dyDescent="0.3">
      <c r="A9" t="s">
        <v>110</v>
      </c>
      <c r="B9">
        <v>9615</v>
      </c>
      <c r="C9">
        <v>12</v>
      </c>
      <c r="D9">
        <v>1</v>
      </c>
      <c r="E9">
        <f t="shared" si="0"/>
        <v>254.59</v>
      </c>
      <c r="F9">
        <v>240.18</v>
      </c>
      <c r="G9">
        <f t="shared" si="1"/>
        <v>14.41</v>
      </c>
      <c r="H9">
        <v>0</v>
      </c>
      <c r="I9">
        <v>0</v>
      </c>
    </row>
    <row r="10" spans="1:20" x14ac:dyDescent="0.3">
      <c r="A10" t="s">
        <v>86</v>
      </c>
      <c r="B10">
        <v>71179010</v>
      </c>
      <c r="C10">
        <v>3</v>
      </c>
      <c r="D10">
        <v>1</v>
      </c>
      <c r="E10">
        <f t="shared" si="0"/>
        <v>29549.770000000011</v>
      </c>
      <c r="F10">
        <v>29113.070000000011</v>
      </c>
      <c r="G10">
        <f t="shared" si="1"/>
        <v>436.7</v>
      </c>
      <c r="H10">
        <v>0</v>
      </c>
      <c r="I10">
        <v>0</v>
      </c>
    </row>
    <row r="11" spans="1:20" x14ac:dyDescent="0.3">
      <c r="A11" t="s">
        <v>201</v>
      </c>
      <c r="B11">
        <v>71179010</v>
      </c>
      <c r="C11">
        <v>3</v>
      </c>
      <c r="D11">
        <v>1</v>
      </c>
      <c r="E11">
        <f t="shared" si="0"/>
        <v>1254.46</v>
      </c>
      <c r="F11">
        <v>1235.92</v>
      </c>
      <c r="G11">
        <f t="shared" si="1"/>
        <v>18.54</v>
      </c>
      <c r="H11">
        <v>0</v>
      </c>
      <c r="I11">
        <v>0</v>
      </c>
    </row>
    <row r="12" spans="1:20" x14ac:dyDescent="0.3">
      <c r="A12" t="s">
        <v>53</v>
      </c>
      <c r="B12">
        <v>71179010</v>
      </c>
      <c r="C12">
        <v>3</v>
      </c>
      <c r="D12">
        <v>1</v>
      </c>
      <c r="E12">
        <f t="shared" si="0"/>
        <v>841.67000000000007</v>
      </c>
      <c r="F12">
        <v>829.23</v>
      </c>
      <c r="G12">
        <f t="shared" si="1"/>
        <v>12.44</v>
      </c>
      <c r="H12">
        <v>0</v>
      </c>
      <c r="I12">
        <v>0</v>
      </c>
    </row>
    <row r="13" spans="1:20" x14ac:dyDescent="0.3">
      <c r="A13" t="s">
        <v>59</v>
      </c>
      <c r="B13">
        <v>9615</v>
      </c>
      <c r="C13">
        <v>12</v>
      </c>
      <c r="D13">
        <v>1</v>
      </c>
      <c r="E13">
        <f t="shared" si="0"/>
        <v>572.16999999999996</v>
      </c>
      <c r="F13">
        <v>539.78</v>
      </c>
      <c r="G13">
        <f t="shared" si="1"/>
        <v>32.39</v>
      </c>
      <c r="H13">
        <v>0</v>
      </c>
      <c r="I13">
        <v>0</v>
      </c>
    </row>
    <row r="14" spans="1:20" x14ac:dyDescent="0.3">
      <c r="A14" t="s">
        <v>202</v>
      </c>
      <c r="B14">
        <v>9615</v>
      </c>
      <c r="C14">
        <v>12</v>
      </c>
      <c r="D14">
        <v>1</v>
      </c>
      <c r="E14">
        <f t="shared" si="0"/>
        <v>282.97999999999996</v>
      </c>
      <c r="F14">
        <v>266.95999999999998</v>
      </c>
      <c r="G14">
        <f t="shared" si="1"/>
        <v>16.02</v>
      </c>
      <c r="H14">
        <v>0</v>
      </c>
      <c r="I14">
        <v>0</v>
      </c>
      <c r="M14" s="47" t="s">
        <v>234</v>
      </c>
      <c r="N14" s="47" t="s">
        <v>46</v>
      </c>
      <c r="O14" t="s">
        <v>243</v>
      </c>
    </row>
    <row r="15" spans="1:20" x14ac:dyDescent="0.3">
      <c r="A15" t="s">
        <v>105</v>
      </c>
      <c r="B15">
        <v>9615</v>
      </c>
      <c r="C15">
        <v>12</v>
      </c>
      <c r="D15">
        <v>1</v>
      </c>
      <c r="E15">
        <f t="shared" si="0"/>
        <v>6594.6099999999988</v>
      </c>
      <c r="F15">
        <v>5588.65</v>
      </c>
      <c r="G15">
        <f t="shared" si="1"/>
        <v>335.32</v>
      </c>
      <c r="H15">
        <f>ROUND(F15*C15%/2,2)</f>
        <v>335.32</v>
      </c>
      <c r="I15">
        <f>ROUND(F15*C15%/2,2)</f>
        <v>335.32</v>
      </c>
      <c r="M15" t="s">
        <v>203</v>
      </c>
      <c r="N15">
        <v>3</v>
      </c>
      <c r="O15" s="46">
        <v>261.17</v>
      </c>
    </row>
    <row r="16" spans="1:20" x14ac:dyDescent="0.3">
      <c r="A16" t="s">
        <v>203</v>
      </c>
      <c r="B16">
        <v>71179010</v>
      </c>
      <c r="C16">
        <v>3</v>
      </c>
      <c r="D16">
        <v>1</v>
      </c>
      <c r="E16">
        <f t="shared" si="0"/>
        <v>600.41000000000008</v>
      </c>
      <c r="F16">
        <v>261.17</v>
      </c>
      <c r="G16">
        <f t="shared" si="1"/>
        <v>3.92</v>
      </c>
      <c r="H16">
        <v>0</v>
      </c>
      <c r="I16">
        <v>335.32</v>
      </c>
      <c r="M16" t="s">
        <v>110</v>
      </c>
      <c r="N16">
        <v>12</v>
      </c>
      <c r="O16" s="46">
        <v>240.18</v>
      </c>
    </row>
    <row r="17" spans="1:15" x14ac:dyDescent="0.3">
      <c r="A17" t="s">
        <v>204</v>
      </c>
      <c r="B17">
        <v>71179010</v>
      </c>
      <c r="C17">
        <v>3</v>
      </c>
      <c r="D17">
        <v>1</v>
      </c>
      <c r="E17">
        <f t="shared" si="0"/>
        <v>3504.4799999999996</v>
      </c>
      <c r="F17">
        <v>3452.6899999999996</v>
      </c>
      <c r="G17">
        <f t="shared" si="1"/>
        <v>51.79</v>
      </c>
      <c r="H17">
        <v>0</v>
      </c>
      <c r="I17">
        <v>0</v>
      </c>
      <c r="M17" t="s">
        <v>53</v>
      </c>
      <c r="N17">
        <v>3</v>
      </c>
      <c r="O17" s="46">
        <v>829.23</v>
      </c>
    </row>
    <row r="18" spans="1:15" x14ac:dyDescent="0.3">
      <c r="A18" t="s">
        <v>205</v>
      </c>
      <c r="B18">
        <v>71179010</v>
      </c>
      <c r="C18">
        <v>3</v>
      </c>
      <c r="D18">
        <v>1</v>
      </c>
      <c r="E18">
        <f t="shared" si="0"/>
        <v>767.66000000000008</v>
      </c>
      <c r="F18">
        <v>756.32</v>
      </c>
      <c r="G18">
        <f t="shared" si="1"/>
        <v>11.34</v>
      </c>
      <c r="H18">
        <v>0</v>
      </c>
      <c r="I18">
        <v>0</v>
      </c>
      <c r="M18" t="s">
        <v>200</v>
      </c>
      <c r="N18">
        <v>3</v>
      </c>
      <c r="O18" s="46">
        <v>0</v>
      </c>
    </row>
    <row r="19" spans="1:15" x14ac:dyDescent="0.3">
      <c r="A19" t="s">
        <v>86</v>
      </c>
      <c r="B19">
        <v>9615</v>
      </c>
      <c r="C19">
        <v>12</v>
      </c>
      <c r="D19">
        <v>1</v>
      </c>
      <c r="E19">
        <f t="shared" si="0"/>
        <v>3618.9100000000003</v>
      </c>
      <c r="F19">
        <v>3414.07</v>
      </c>
      <c r="G19">
        <f t="shared" si="1"/>
        <v>204.84</v>
      </c>
      <c r="H19">
        <v>0</v>
      </c>
      <c r="I19">
        <v>0</v>
      </c>
      <c r="M19" t="s">
        <v>204</v>
      </c>
      <c r="N19">
        <v>3</v>
      </c>
      <c r="O19" s="46">
        <v>3452.6899999999996</v>
      </c>
    </row>
    <row r="20" spans="1:15" x14ac:dyDescent="0.3">
      <c r="A20" t="s">
        <v>86</v>
      </c>
      <c r="B20">
        <v>85182110</v>
      </c>
      <c r="C20">
        <v>18</v>
      </c>
      <c r="D20">
        <v>1</v>
      </c>
      <c r="E20">
        <f t="shared" si="0"/>
        <v>313.15000000000003</v>
      </c>
      <c r="F20">
        <v>287.29000000000002</v>
      </c>
      <c r="G20">
        <f t="shared" si="1"/>
        <v>25.86</v>
      </c>
      <c r="H20">
        <v>0</v>
      </c>
      <c r="I20">
        <v>0</v>
      </c>
      <c r="M20" t="s">
        <v>208</v>
      </c>
      <c r="N20">
        <v>3</v>
      </c>
      <c r="O20" s="46">
        <v>0</v>
      </c>
    </row>
    <row r="21" spans="1:15" x14ac:dyDescent="0.3">
      <c r="A21" t="s">
        <v>206</v>
      </c>
      <c r="B21">
        <v>71179010</v>
      </c>
      <c r="C21">
        <v>3</v>
      </c>
      <c r="D21">
        <v>1</v>
      </c>
      <c r="E21">
        <f t="shared" si="0"/>
        <v>2612.4500000000003</v>
      </c>
      <c r="F21">
        <v>2573.84</v>
      </c>
      <c r="G21">
        <f t="shared" si="1"/>
        <v>38.61</v>
      </c>
      <c r="H21">
        <v>0</v>
      </c>
      <c r="I21">
        <v>0</v>
      </c>
      <c r="M21" t="s">
        <v>207</v>
      </c>
      <c r="N21">
        <v>3</v>
      </c>
      <c r="O21" s="46">
        <v>2658.25</v>
      </c>
    </row>
    <row r="22" spans="1:15" x14ac:dyDescent="0.3">
      <c r="A22" t="s">
        <v>207</v>
      </c>
      <c r="B22">
        <v>71179010</v>
      </c>
      <c r="C22">
        <v>3</v>
      </c>
      <c r="D22">
        <v>1</v>
      </c>
      <c r="E22">
        <f t="shared" si="0"/>
        <v>2698.12</v>
      </c>
      <c r="F22">
        <v>2658.25</v>
      </c>
      <c r="G22">
        <f t="shared" si="1"/>
        <v>39.869999999999997</v>
      </c>
      <c r="H22">
        <v>0</v>
      </c>
      <c r="I22">
        <v>0</v>
      </c>
      <c r="M22" t="s">
        <v>205</v>
      </c>
      <c r="N22">
        <v>3</v>
      </c>
      <c r="O22" s="46">
        <v>756.32</v>
      </c>
    </row>
    <row r="23" spans="1:15" x14ac:dyDescent="0.3">
      <c r="A23" t="s">
        <v>208</v>
      </c>
      <c r="B23">
        <v>71179010</v>
      </c>
      <c r="C23">
        <v>3</v>
      </c>
      <c r="D23">
        <v>1</v>
      </c>
      <c r="E23">
        <f t="shared" si="0"/>
        <v>0</v>
      </c>
      <c r="F23">
        <v>0</v>
      </c>
      <c r="G23">
        <f t="shared" si="1"/>
        <v>0</v>
      </c>
      <c r="H23">
        <v>0</v>
      </c>
      <c r="I23">
        <v>0</v>
      </c>
      <c r="M23" t="s">
        <v>206</v>
      </c>
      <c r="N23">
        <v>3</v>
      </c>
      <c r="O23" s="46">
        <v>2573.84</v>
      </c>
    </row>
    <row r="24" spans="1:15" x14ac:dyDescent="0.3">
      <c r="M24" t="s">
        <v>105</v>
      </c>
      <c r="N24">
        <v>3</v>
      </c>
      <c r="O24" s="46">
        <v>44063.459999999963</v>
      </c>
    </row>
    <row r="25" spans="1:15" x14ac:dyDescent="0.3">
      <c r="N25">
        <v>12</v>
      </c>
      <c r="O25" s="46">
        <v>5588.65</v>
      </c>
    </row>
    <row r="26" spans="1:15" x14ac:dyDescent="0.3">
      <c r="M26" t="s">
        <v>201</v>
      </c>
      <c r="N26">
        <v>3</v>
      </c>
      <c r="O26" s="46">
        <v>1235.92</v>
      </c>
    </row>
    <row r="27" spans="1:15" x14ac:dyDescent="0.3">
      <c r="N27">
        <v>12</v>
      </c>
      <c r="O27" s="46">
        <v>266.95999999999998</v>
      </c>
    </row>
    <row r="28" spans="1:15" x14ac:dyDescent="0.3">
      <c r="M28" t="s">
        <v>202</v>
      </c>
      <c r="N28">
        <v>3</v>
      </c>
      <c r="O28" s="46">
        <v>15332.970000000003</v>
      </c>
    </row>
    <row r="29" spans="1:15" x14ac:dyDescent="0.3">
      <c r="N29">
        <v>12</v>
      </c>
      <c r="O29" s="46">
        <v>266.95999999999998</v>
      </c>
    </row>
    <row r="30" spans="1:15" x14ac:dyDescent="0.3">
      <c r="M30" t="s">
        <v>86</v>
      </c>
      <c r="N30">
        <v>0</v>
      </c>
      <c r="O30" s="46">
        <v>-76.7</v>
      </c>
    </row>
    <row r="31" spans="1:15" x14ac:dyDescent="0.3">
      <c r="N31">
        <v>3</v>
      </c>
      <c r="O31" s="46">
        <v>29113.070000000011</v>
      </c>
    </row>
    <row r="32" spans="1:15" x14ac:dyDescent="0.3">
      <c r="N32">
        <v>12</v>
      </c>
      <c r="O32" s="46">
        <v>3414.07</v>
      </c>
    </row>
    <row r="33" spans="13:15" x14ac:dyDescent="0.3">
      <c r="N33">
        <v>18</v>
      </c>
      <c r="O33" s="46">
        <v>287.29000000000002</v>
      </c>
    </row>
    <row r="34" spans="13:15" x14ac:dyDescent="0.3">
      <c r="M34" t="s">
        <v>59</v>
      </c>
      <c r="N34">
        <v>3</v>
      </c>
      <c r="O34" s="46">
        <v>13532.940000000002</v>
      </c>
    </row>
    <row r="35" spans="13:15" x14ac:dyDescent="0.3">
      <c r="N35">
        <v>12</v>
      </c>
      <c r="O35" s="46">
        <v>539.78</v>
      </c>
    </row>
    <row r="36" spans="13:15" x14ac:dyDescent="0.3">
      <c r="M36" t="s">
        <v>199</v>
      </c>
      <c r="N36">
        <v>3</v>
      </c>
      <c r="O36" s="46">
        <v>4358.88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19"/>
  <sheetViews>
    <sheetView workbookViewId="0">
      <pane ySplit="4" topLeftCell="A5" activePane="bottomLeft" state="frozen"/>
      <selection pane="bottomLeft"/>
    </sheetView>
  </sheetViews>
  <sheetFormatPr defaultRowHeight="14.4" x14ac:dyDescent="0.3"/>
  <cols>
    <col min="1" max="1" width="16.44140625" customWidth="1"/>
    <col min="2" max="2" width="12.109375" customWidth="1"/>
    <col min="3" max="3" width="3.33203125" customWidth="1"/>
    <col min="4" max="4" width="15.44140625" customWidth="1"/>
    <col min="5" max="5" width="4.44140625" customWidth="1"/>
    <col min="6" max="6" width="12.109375" customWidth="1"/>
    <col min="7" max="7" width="20.88671875" customWidth="1"/>
    <col min="8" max="8" width="23.109375" customWidth="1"/>
    <col min="9" max="9" width="19.77734375" customWidth="1"/>
    <col min="10" max="10" width="20.88671875" customWidth="1"/>
    <col min="11" max="11" width="12.109375" customWidth="1"/>
  </cols>
  <sheetData>
    <row r="1" spans="1:11" x14ac:dyDescent="0.3">
      <c r="A1" s="42" t="s">
        <v>209</v>
      </c>
    </row>
    <row r="2" spans="1:11" x14ac:dyDescent="0.3">
      <c r="A2" s="43" t="s">
        <v>210</v>
      </c>
      <c r="B2" s="43"/>
      <c r="C2" s="43"/>
      <c r="D2" s="43"/>
      <c r="E2" s="43"/>
      <c r="F2" s="43" t="s">
        <v>211</v>
      </c>
      <c r="G2" s="43" t="s">
        <v>34</v>
      </c>
      <c r="H2" s="43" t="s">
        <v>212</v>
      </c>
      <c r="I2" s="43" t="s">
        <v>213</v>
      </c>
      <c r="J2" s="43" t="s">
        <v>214</v>
      </c>
      <c r="K2" s="43" t="s">
        <v>35</v>
      </c>
    </row>
    <row r="3" spans="1:11" x14ac:dyDescent="0.3">
      <c r="A3">
        <f>COUNTA(A5:A1048576)</f>
        <v>15</v>
      </c>
      <c r="F3" s="31">
        <f t="shared" ref="F3:K3" si="0">SUM(F5:F1048576)</f>
        <v>197768.56000000011</v>
      </c>
      <c r="G3" s="31">
        <f t="shared" si="0"/>
        <v>190974.69000000006</v>
      </c>
      <c r="H3" s="31">
        <f t="shared" si="0"/>
        <v>4829.2500000000027</v>
      </c>
      <c r="I3" s="31">
        <f t="shared" si="0"/>
        <v>1009.4600000000002</v>
      </c>
      <c r="J3" s="31">
        <f t="shared" si="0"/>
        <v>1009.4600000000002</v>
      </c>
      <c r="K3" s="31">
        <f t="shared" si="0"/>
        <v>0</v>
      </c>
    </row>
    <row r="4" spans="1:11" x14ac:dyDescent="0.3">
      <c r="A4" s="33" t="s">
        <v>215</v>
      </c>
      <c r="B4" s="33" t="s">
        <v>216</v>
      </c>
      <c r="C4" s="33" t="s">
        <v>217</v>
      </c>
      <c r="D4" s="33" t="s">
        <v>218</v>
      </c>
      <c r="E4" s="33" t="s">
        <v>46</v>
      </c>
      <c r="F4" s="33" t="s">
        <v>211</v>
      </c>
      <c r="G4" s="33" t="s">
        <v>47</v>
      </c>
      <c r="H4" s="33" t="s">
        <v>219</v>
      </c>
      <c r="I4" s="33" t="s">
        <v>220</v>
      </c>
      <c r="J4" s="33" t="s">
        <v>221</v>
      </c>
      <c r="K4" s="33" t="s">
        <v>48</v>
      </c>
    </row>
    <row r="5" spans="1:11" x14ac:dyDescent="0.3">
      <c r="A5" t="s">
        <v>222</v>
      </c>
      <c r="B5" t="s">
        <v>50</v>
      </c>
      <c r="C5" t="s">
        <v>223</v>
      </c>
      <c r="D5">
        <v>1</v>
      </c>
      <c r="E5">
        <v>0.18</v>
      </c>
      <c r="F5">
        <v>339</v>
      </c>
      <c r="G5">
        <v>287.29000000000002</v>
      </c>
      <c r="H5">
        <v>51.71</v>
      </c>
      <c r="I5">
        <v>0</v>
      </c>
      <c r="J5">
        <v>0</v>
      </c>
      <c r="K5">
        <v>0</v>
      </c>
    </row>
    <row r="6" spans="1:11" x14ac:dyDescent="0.3">
      <c r="A6" t="s">
        <v>224</v>
      </c>
      <c r="B6" t="s">
        <v>50</v>
      </c>
      <c r="C6" t="s">
        <v>223</v>
      </c>
      <c r="D6">
        <v>0</v>
      </c>
      <c r="E6">
        <v>0</v>
      </c>
      <c r="F6">
        <v>-79</v>
      </c>
      <c r="G6">
        <v>-76.7</v>
      </c>
      <c r="H6">
        <v>0</v>
      </c>
      <c r="I6">
        <v>0</v>
      </c>
      <c r="J6">
        <v>0</v>
      </c>
      <c r="K6">
        <v>0</v>
      </c>
    </row>
    <row r="7" spans="1:11" x14ac:dyDescent="0.3">
      <c r="A7" t="s">
        <v>222</v>
      </c>
      <c r="B7" t="s">
        <v>50</v>
      </c>
      <c r="C7" t="s">
        <v>223</v>
      </c>
      <c r="D7">
        <v>53</v>
      </c>
      <c r="E7">
        <v>0.03</v>
      </c>
      <c r="F7">
        <v>17402.279999999995</v>
      </c>
      <c r="G7">
        <v>16895.450000000004</v>
      </c>
      <c r="H7">
        <v>250.01999999999992</v>
      </c>
      <c r="I7">
        <v>131</v>
      </c>
      <c r="J7">
        <v>131</v>
      </c>
      <c r="K7">
        <v>0</v>
      </c>
    </row>
    <row r="8" spans="1:11" x14ac:dyDescent="0.3">
      <c r="A8" t="s">
        <v>50</v>
      </c>
      <c r="B8" t="s">
        <v>50</v>
      </c>
      <c r="C8" t="s">
        <v>223</v>
      </c>
      <c r="D8">
        <v>10</v>
      </c>
      <c r="E8">
        <v>0.03</v>
      </c>
      <c r="F8">
        <v>2809.4</v>
      </c>
      <c r="G8">
        <v>2727.55</v>
      </c>
      <c r="H8">
        <v>80.680000000000007</v>
      </c>
      <c r="I8">
        <v>0</v>
      </c>
      <c r="J8">
        <v>0</v>
      </c>
      <c r="K8">
        <v>0</v>
      </c>
    </row>
    <row r="9" spans="1:11" x14ac:dyDescent="0.3">
      <c r="A9" t="s">
        <v>225</v>
      </c>
      <c r="B9" t="s">
        <v>50</v>
      </c>
      <c r="C9" t="s">
        <v>223</v>
      </c>
      <c r="D9">
        <v>1</v>
      </c>
      <c r="E9">
        <v>0.12</v>
      </c>
      <c r="F9">
        <v>294.33</v>
      </c>
      <c r="G9">
        <v>262.79000000000002</v>
      </c>
      <c r="H9">
        <v>31.54</v>
      </c>
      <c r="I9">
        <v>0</v>
      </c>
      <c r="J9">
        <v>0</v>
      </c>
      <c r="K9">
        <v>0</v>
      </c>
    </row>
    <row r="10" spans="1:11" x14ac:dyDescent="0.3">
      <c r="A10" t="s">
        <v>226</v>
      </c>
      <c r="B10" t="s">
        <v>50</v>
      </c>
      <c r="C10" t="s">
        <v>223</v>
      </c>
      <c r="D10">
        <v>6</v>
      </c>
      <c r="E10">
        <v>0.03</v>
      </c>
      <c r="F10">
        <v>2498.96</v>
      </c>
      <c r="G10">
        <v>2426.1600000000003</v>
      </c>
      <c r="H10">
        <v>71.75</v>
      </c>
      <c r="I10">
        <v>0</v>
      </c>
      <c r="J10">
        <v>0</v>
      </c>
      <c r="K10">
        <v>0</v>
      </c>
    </row>
    <row r="11" spans="1:11" x14ac:dyDescent="0.3">
      <c r="A11" t="s">
        <v>227</v>
      </c>
      <c r="B11" t="s">
        <v>50</v>
      </c>
      <c r="C11" t="s">
        <v>223</v>
      </c>
      <c r="D11">
        <v>0</v>
      </c>
      <c r="E11">
        <v>0.03</v>
      </c>
      <c r="F11">
        <v>0</v>
      </c>
      <c r="G11">
        <v>0</v>
      </c>
      <c r="H11">
        <v>0</v>
      </c>
      <c r="I11">
        <v>0</v>
      </c>
      <c r="J11">
        <v>0</v>
      </c>
      <c r="K11">
        <v>0</v>
      </c>
    </row>
    <row r="12" spans="1:11" x14ac:dyDescent="0.3">
      <c r="A12" t="s">
        <v>224</v>
      </c>
      <c r="B12" t="s">
        <v>50</v>
      </c>
      <c r="C12" t="s">
        <v>223</v>
      </c>
      <c r="D12">
        <v>386</v>
      </c>
      <c r="E12">
        <v>0.03</v>
      </c>
      <c r="F12">
        <v>144817.12000000014</v>
      </c>
      <c r="G12">
        <v>140599.15000000008</v>
      </c>
      <c r="H12">
        <v>3217.1600000000026</v>
      </c>
      <c r="I12">
        <v>512.57000000000028</v>
      </c>
      <c r="J12">
        <v>512.57000000000028</v>
      </c>
      <c r="K12">
        <v>0</v>
      </c>
    </row>
    <row r="13" spans="1:11" x14ac:dyDescent="0.3">
      <c r="A13" t="s">
        <v>228</v>
      </c>
      <c r="B13" t="s">
        <v>50</v>
      </c>
      <c r="C13" t="s">
        <v>223</v>
      </c>
      <c r="D13">
        <v>2</v>
      </c>
      <c r="E13">
        <v>0.03</v>
      </c>
      <c r="F13">
        <v>557.1</v>
      </c>
      <c r="G13">
        <v>540.86</v>
      </c>
      <c r="H13">
        <v>0</v>
      </c>
      <c r="I13">
        <v>8.41</v>
      </c>
      <c r="J13">
        <v>8.41</v>
      </c>
      <c r="K13">
        <v>0</v>
      </c>
    </row>
    <row r="14" spans="1:11" x14ac:dyDescent="0.3">
      <c r="A14" t="s">
        <v>229</v>
      </c>
      <c r="B14" t="s">
        <v>50</v>
      </c>
      <c r="C14" t="s">
        <v>223</v>
      </c>
      <c r="D14">
        <v>11</v>
      </c>
      <c r="E14">
        <v>0.12</v>
      </c>
      <c r="F14">
        <v>3344.0000000000005</v>
      </c>
      <c r="G14">
        <v>2985.68</v>
      </c>
      <c r="H14">
        <v>130.71</v>
      </c>
      <c r="I14">
        <v>117.17999999999999</v>
      </c>
      <c r="J14">
        <v>117.17999999999999</v>
      </c>
      <c r="K14">
        <v>0</v>
      </c>
    </row>
    <row r="15" spans="1:11" x14ac:dyDescent="0.3">
      <c r="A15" t="s">
        <v>230</v>
      </c>
      <c r="B15" t="s">
        <v>50</v>
      </c>
      <c r="C15" t="s">
        <v>223</v>
      </c>
      <c r="D15">
        <v>2</v>
      </c>
      <c r="E15">
        <v>0.12</v>
      </c>
      <c r="F15">
        <v>492.1</v>
      </c>
      <c r="G15">
        <v>439.38</v>
      </c>
      <c r="H15">
        <v>55.5</v>
      </c>
      <c r="I15">
        <v>0</v>
      </c>
      <c r="J15">
        <v>0</v>
      </c>
      <c r="K15">
        <v>0</v>
      </c>
    </row>
    <row r="16" spans="1:11" x14ac:dyDescent="0.3">
      <c r="A16" t="s">
        <v>231</v>
      </c>
      <c r="B16" t="s">
        <v>50</v>
      </c>
      <c r="C16" t="s">
        <v>223</v>
      </c>
      <c r="D16">
        <v>2</v>
      </c>
      <c r="E16">
        <v>0.03</v>
      </c>
      <c r="F16">
        <v>758</v>
      </c>
      <c r="G16">
        <v>735.92</v>
      </c>
      <c r="H16">
        <v>11.04</v>
      </c>
      <c r="I16">
        <v>5.52</v>
      </c>
      <c r="J16">
        <v>5.5200000000000005</v>
      </c>
      <c r="K16">
        <v>0</v>
      </c>
    </row>
    <row r="17" spans="1:11" x14ac:dyDescent="0.3">
      <c r="A17" t="s">
        <v>222</v>
      </c>
      <c r="B17" t="s">
        <v>50</v>
      </c>
      <c r="C17" t="s">
        <v>223</v>
      </c>
      <c r="D17">
        <v>30</v>
      </c>
      <c r="E17">
        <v>0.12</v>
      </c>
      <c r="F17">
        <v>8268.0499999999993</v>
      </c>
      <c r="G17">
        <v>7382.1100000000006</v>
      </c>
      <c r="H17">
        <v>444.8</v>
      </c>
      <c r="I17">
        <v>224.9</v>
      </c>
      <c r="J17">
        <v>224.9</v>
      </c>
      <c r="K17">
        <v>0</v>
      </c>
    </row>
    <row r="18" spans="1:11" x14ac:dyDescent="0.3">
      <c r="A18" t="s">
        <v>232</v>
      </c>
      <c r="B18" t="s">
        <v>50</v>
      </c>
      <c r="C18" t="s">
        <v>223</v>
      </c>
      <c r="D18">
        <v>25</v>
      </c>
      <c r="E18">
        <v>0.03</v>
      </c>
      <c r="F18">
        <v>15954.669999999998</v>
      </c>
      <c r="G18">
        <v>15489.99</v>
      </c>
      <c r="H18">
        <v>449.09</v>
      </c>
      <c r="I18">
        <v>9.879999999999999</v>
      </c>
      <c r="J18">
        <v>9.879999999999999</v>
      </c>
      <c r="K18">
        <v>0</v>
      </c>
    </row>
    <row r="19" spans="1:11" x14ac:dyDescent="0.3">
      <c r="A19" t="s">
        <v>233</v>
      </c>
      <c r="B19" t="s">
        <v>50</v>
      </c>
      <c r="C19" t="s">
        <v>223</v>
      </c>
      <c r="D19">
        <v>1</v>
      </c>
      <c r="E19">
        <v>0.12</v>
      </c>
      <c r="F19">
        <v>312.55</v>
      </c>
      <c r="G19">
        <v>279.06</v>
      </c>
      <c r="H19">
        <v>35.25</v>
      </c>
      <c r="I19">
        <v>0</v>
      </c>
      <c r="J19">
        <v>0</v>
      </c>
      <c r="K19">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6C9EB-AD51-4B14-971C-026FBC067318}">
  <dimension ref="A1:P16"/>
  <sheetViews>
    <sheetView topLeftCell="K1" workbookViewId="0">
      <selection activeCell="O3" sqref="O3:O9"/>
    </sheetView>
  </sheetViews>
  <sheetFormatPr defaultRowHeight="14.4" x14ac:dyDescent="0.3"/>
  <cols>
    <col min="1" max="1" width="8.88671875" customWidth="1"/>
    <col min="14" max="14" width="10.5546875" customWidth="1"/>
  </cols>
  <sheetData>
    <row r="1" spans="1:16" x14ac:dyDescent="0.3">
      <c r="A1" t="s">
        <v>111</v>
      </c>
      <c r="B1" t="s">
        <v>100</v>
      </c>
      <c r="C1" t="s">
        <v>106</v>
      </c>
      <c r="D1" t="s">
        <v>103</v>
      </c>
      <c r="E1" t="s">
        <v>172</v>
      </c>
      <c r="I1" t="s">
        <v>187</v>
      </c>
    </row>
    <row r="2" spans="1:16" x14ac:dyDescent="0.3">
      <c r="A2" t="s">
        <v>82</v>
      </c>
      <c r="B2" t="s">
        <v>85</v>
      </c>
      <c r="C2" t="s">
        <v>143</v>
      </c>
      <c r="E2" t="s">
        <v>155</v>
      </c>
      <c r="I2" t="s">
        <v>184</v>
      </c>
      <c r="L2" t="s">
        <v>192</v>
      </c>
      <c r="M2" t="s">
        <v>246</v>
      </c>
      <c r="N2" t="s">
        <v>247</v>
      </c>
      <c r="O2" t="s">
        <v>248</v>
      </c>
      <c r="P2" t="s">
        <v>249</v>
      </c>
    </row>
    <row r="3" spans="1:16" x14ac:dyDescent="0.3">
      <c r="A3" t="s">
        <v>80</v>
      </c>
      <c r="B3" t="s">
        <v>89</v>
      </c>
      <c r="C3" t="s">
        <v>150</v>
      </c>
      <c r="E3" t="s">
        <v>149</v>
      </c>
      <c r="L3" t="s">
        <v>250</v>
      </c>
      <c r="M3" t="s">
        <v>111</v>
      </c>
      <c r="N3" t="s">
        <v>135</v>
      </c>
      <c r="O3">
        <v>11</v>
      </c>
      <c r="P3">
        <v>0</v>
      </c>
    </row>
    <row r="4" spans="1:16" x14ac:dyDescent="0.3">
      <c r="A4" t="s">
        <v>116</v>
      </c>
      <c r="C4" t="s">
        <v>162</v>
      </c>
      <c r="E4" t="s">
        <v>151</v>
      </c>
      <c r="L4" t="s">
        <v>250</v>
      </c>
      <c r="M4" t="s">
        <v>100</v>
      </c>
      <c r="N4" t="s">
        <v>89</v>
      </c>
      <c r="O4">
        <v>3</v>
      </c>
      <c r="P4">
        <v>0</v>
      </c>
    </row>
    <row r="5" spans="1:16" x14ac:dyDescent="0.3">
      <c r="A5" t="s">
        <v>138</v>
      </c>
      <c r="C5" t="s">
        <v>123</v>
      </c>
      <c r="E5" t="s">
        <v>140</v>
      </c>
      <c r="L5" t="s">
        <v>250</v>
      </c>
      <c r="M5" t="s">
        <v>106</v>
      </c>
      <c r="N5" t="s">
        <v>152</v>
      </c>
      <c r="O5">
        <v>16</v>
      </c>
      <c r="P5">
        <v>0</v>
      </c>
    </row>
    <row r="6" spans="1:16" x14ac:dyDescent="0.3">
      <c r="A6" t="s">
        <v>158</v>
      </c>
      <c r="C6" t="s">
        <v>78</v>
      </c>
      <c r="L6" t="s">
        <v>250</v>
      </c>
      <c r="M6" t="s">
        <v>103</v>
      </c>
      <c r="N6" t="s">
        <v>103</v>
      </c>
      <c r="O6">
        <v>1</v>
      </c>
      <c r="P6">
        <v>0</v>
      </c>
    </row>
    <row r="7" spans="1:16" x14ac:dyDescent="0.3">
      <c r="A7" t="s">
        <v>93</v>
      </c>
      <c r="C7" t="s">
        <v>109</v>
      </c>
      <c r="L7" t="s">
        <v>250</v>
      </c>
      <c r="M7" t="s">
        <v>172</v>
      </c>
      <c r="N7" t="s">
        <v>140</v>
      </c>
      <c r="O7">
        <v>5</v>
      </c>
      <c r="P7">
        <v>0</v>
      </c>
    </row>
    <row r="8" spans="1:16" x14ac:dyDescent="0.3">
      <c r="A8" t="s">
        <v>57</v>
      </c>
      <c r="C8" t="s">
        <v>122</v>
      </c>
      <c r="L8" t="s">
        <v>251</v>
      </c>
      <c r="M8" t="s">
        <v>187</v>
      </c>
      <c r="N8" t="s">
        <v>187</v>
      </c>
      <c r="O8">
        <v>1</v>
      </c>
      <c r="P8">
        <v>0</v>
      </c>
    </row>
    <row r="9" spans="1:16" x14ac:dyDescent="0.3">
      <c r="A9" t="s">
        <v>51</v>
      </c>
      <c r="C9" t="s">
        <v>146</v>
      </c>
      <c r="L9" t="s">
        <v>251</v>
      </c>
      <c r="M9" t="s">
        <v>184</v>
      </c>
      <c r="N9" t="s">
        <v>184</v>
      </c>
      <c r="O9">
        <v>1</v>
      </c>
      <c r="P9">
        <v>0</v>
      </c>
    </row>
    <row r="10" spans="1:16" x14ac:dyDescent="0.3">
      <c r="A10" t="s">
        <v>154</v>
      </c>
      <c r="C10" t="s">
        <v>118</v>
      </c>
    </row>
    <row r="11" spans="1:16" x14ac:dyDescent="0.3">
      <c r="A11" t="s">
        <v>135</v>
      </c>
      <c r="C11" t="s">
        <v>142</v>
      </c>
    </row>
    <row r="12" spans="1:16" x14ac:dyDescent="0.3">
      <c r="C12" t="s">
        <v>107</v>
      </c>
    </row>
    <row r="13" spans="1:16" x14ac:dyDescent="0.3">
      <c r="C13" t="s">
        <v>128</v>
      </c>
    </row>
    <row r="14" spans="1:16" x14ac:dyDescent="0.3">
      <c r="C14" t="s">
        <v>164</v>
      </c>
    </row>
    <row r="15" spans="1:16" x14ac:dyDescent="0.3">
      <c r="C15" t="s">
        <v>61</v>
      </c>
    </row>
    <row r="16" spans="1:16" x14ac:dyDescent="0.3">
      <c r="C16" t="s">
        <v>152</v>
      </c>
    </row>
  </sheetData>
  <conditionalFormatting sqref="D1 E1:E5 A1:A11 B1:B3 C1:C16">
    <cfRule type="duplicateValues" dxfId="10" priority="11"/>
  </conditionalFormatting>
  <conditionalFormatting sqref="M3">
    <cfRule type="duplicateValues" dxfId="9" priority="10"/>
  </conditionalFormatting>
  <conditionalFormatting sqref="N3">
    <cfRule type="duplicateValues" dxfId="8" priority="9"/>
  </conditionalFormatting>
  <conditionalFormatting sqref="M4">
    <cfRule type="duplicateValues" dxfId="7" priority="8"/>
  </conditionalFormatting>
  <conditionalFormatting sqref="N4">
    <cfRule type="duplicateValues" dxfId="6" priority="7"/>
  </conditionalFormatting>
  <conditionalFormatting sqref="M5">
    <cfRule type="duplicateValues" dxfId="5" priority="6"/>
  </conditionalFormatting>
  <conditionalFormatting sqref="N5">
    <cfRule type="duplicateValues" dxfId="4" priority="5"/>
  </conditionalFormatting>
  <conditionalFormatting sqref="M6">
    <cfRule type="duplicateValues" dxfId="3" priority="4"/>
  </conditionalFormatting>
  <conditionalFormatting sqref="M7">
    <cfRule type="duplicateValues" dxfId="2" priority="3"/>
  </conditionalFormatting>
  <conditionalFormatting sqref="N7">
    <cfRule type="duplicateValues" dxfId="1" priority="2"/>
  </conditionalFormatting>
  <conditionalFormatting sqref="N6">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GSTIN</vt:lpstr>
      <vt:lpstr>B2B</vt:lpstr>
      <vt:lpstr>HSN(B2B)</vt:lpstr>
      <vt:lpstr>B2B CN (cdnr)</vt:lpstr>
      <vt:lpstr>B2CL CN (cdnur)</vt:lpstr>
      <vt:lpstr>B2C Large</vt:lpstr>
      <vt:lpstr>B2C Small</vt:lpstr>
      <vt:lpstr>HSN(B2C)</vt:lpstr>
      <vt:lpstr>HSN Summary</vt:lpstr>
      <vt:lpstr>DOC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hp</cp:lastModifiedBy>
  <dcterms:created xsi:type="dcterms:W3CDTF">2025-07-03T06:56:01Z</dcterms:created>
  <dcterms:modified xsi:type="dcterms:W3CDTF">2026-07-25T21:32:48Z</dcterms:modified>
</cp:coreProperties>
</file>